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资料大全" sheetId="2" r:id="rId4"/>
    <sheet name="资源每日更新，无偿共享，求资源，防走丢看"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资源名称</t>
        </is>
      </c>
      <c r="B1" s="1" t="inlineStr">
        <is>
          <t>资源链接</t>
        </is>
      </c>
      <c r="C1" s="1" t="inlineStr">
        <is>
          <t>文件大小</t>
        </is>
      </c>
      <c r="D1" s="1" t="inlineStr">
        <is>
          <t>标签</t>
        </is>
      </c>
      <c r="E1" s="1" t="inlineStr">
        <is>
          <t>点此搜索</t>
        </is>
      </c>
      <c r="F1" s="1" t="inlineStr">
        <is>
          <t>更多资料请联系</t>
        </is>
      </c>
      <c r="G1" s="1" t="inlineStr">
        <is>
          <t>更新时间</t>
        </is>
      </c>
    </row>
    <row r="2" ht="25.5" customHeight="1">
      <c r="A2" t="inlineStr">
        <is>
          <t>2025年新版一年级语文知识点总结（期中高频考点汇总）.pdf</t>
        </is>
      </c>
      <c r="B2" s="2" t="str">
        <f>=HYPERLINK("https://pan.quark.cn/s/2fe9238fa124", "https://pan.quark.cn/s/2fe9238fa124")</f>
        <v>https://pan.quark.cn/s/2fe9238fa124</v>
      </c>
      <c r="C2" t="inlineStr">
        <is>
          <t>36.3M</t>
        </is>
      </c>
      <c r="D2" t="inlineStr">
        <is>
          <t>/一年级语文/期中高频考点/知识点总结/K12/学龄儿童家长</t>
        </is>
      </c>
      <c r="E2" t="inlineStr">
        <is>
          <t>https://dcn8qexvg13r.feishu.cn/share/base/query/shrcnMqxwwRkV3NUIUxPeab3sec</t>
        </is>
      </c>
      <c r="F2" t="inlineStr">
        <is>
          <t>请添加微信：k846211</t>
        </is>
      </c>
      <c r="G2" t="inlineStr">
        <is>
          <t>2025-11-06</t>
        </is>
      </c>
    </row>
    <row r="3" ht="25.5" customHeight="1">
      <c r="A3" t="inlineStr">
        <is>
          <t>25秋实验班提优大考卷数学北师大1-6年级上</t>
        </is>
      </c>
      <c r="B3" s="2" t="str">
        <f>=HYPERLINK("https://pan.quark.cn/s/038144e44367", "https://pan.quark.cn/s/038144e44367")</f>
        <v>https://pan.quark.cn/s/038144e44367</v>
      </c>
      <c r="C3" t="inlineStr">
        <is>
          <t>869.6M</t>
        </is>
      </c>
      <c r="D3" t="inlineStr">
        <is>
          <t>/数学/实验班/提优大考卷/北师大版/K12/学龄儿童家长</t>
        </is>
      </c>
      <c r="E3" t="inlineStr">
        <is>
          <t>https://dcn8qexvg13r.feishu.cn/share/base/query/shrcnMqxwwRkV3NUIUxPeab3sec</t>
        </is>
      </c>
      <c r="F3" t="inlineStr">
        <is>
          <t>请添加微信：k846211</t>
        </is>
      </c>
      <c r="G3" t="inlineStr">
        <is>
          <t>2025-11-06</t>
        </is>
      </c>
    </row>
    <row r="4" ht="25.5" customHeight="1">
      <c r="A4" t="inlineStr">
        <is>
          <t>25秋实验班提优大考卷数学苏教</t>
        </is>
      </c>
      <c r="B4" s="2" t="str">
        <f>=HYPERLINK("https://pan.quark.cn/s/3f6df402c45b", "https://pan.quark.cn/s/3f6df402c45b")</f>
        <v>https://pan.quark.cn/s/3f6df402c45b</v>
      </c>
      <c r="C4" t="inlineStr">
        <is>
          <t>825.1M</t>
        </is>
      </c>
      <c r="D4" t="inlineStr">
        <is>
          <t>/数学/苏教版/实验班提优/大考卷/K12/学龄儿童家长</t>
        </is>
      </c>
      <c r="E4" t="inlineStr">
        <is>
          <t>https://dcn8qexvg13r.feishu.cn/share/base/query/shrcnMqxwwRkV3NUIUxPeab3sec</t>
        </is>
      </c>
      <c r="F4" t="inlineStr">
        <is>
          <t>请添加微信：k846211</t>
        </is>
      </c>
      <c r="G4" t="inlineStr">
        <is>
          <t>2025-11-06</t>
        </is>
      </c>
    </row>
    <row r="5" ht="25.5" customHeight="1">
      <c r="A5" t="inlineStr">
        <is>
          <t>25秋实验班提优大考卷英语5上YL</t>
        </is>
      </c>
      <c r="B5" s="2" t="str">
        <f>=HYPERLINK("https://pan.quark.cn/s/37edb02b798c", "https://pan.quark.cn/s/37edb02b798c")</f>
        <v>https://pan.quark.cn/s/37edb02b798c</v>
      </c>
      <c r="C5" t="inlineStr">
        <is>
          <t>330.2M</t>
        </is>
      </c>
      <c r="D5" t="inlineStr">
        <is>
          <t>/英语/五年级上册/实验班/提优/大考卷/K12/学龄儿童家长</t>
        </is>
      </c>
      <c r="E5" t="inlineStr">
        <is>
          <t>https://dcn8qexvg13r.feishu.cn/share/base/query/shrcnMqxwwRkV3NUIUxPeab3sec</t>
        </is>
      </c>
      <c r="F5" t="inlineStr">
        <is>
          <t>请添加微信：k846211</t>
        </is>
      </c>
      <c r="G5" t="inlineStr">
        <is>
          <t>2025-11-06</t>
        </is>
      </c>
    </row>
    <row r="6" ht="25.5" customHeight="1">
      <c r="A6" t="inlineStr">
        <is>
          <t>25秋实验班提优训练 人教版数学</t>
        </is>
      </c>
      <c r="B6" s="2" t="str">
        <f>=HYPERLINK("https://pan.quark.cn/s/a5a3a1b5bd8c", "https://pan.quark.cn/s/a5a3a1b5bd8c")</f>
        <v>https://pan.quark.cn/s/a5a3a1b5bd8c</v>
      </c>
      <c r="C6" t="inlineStr">
        <is>
          <t>757.2M</t>
        </is>
      </c>
      <c r="D6" t="inlineStr">
        <is>
          <t>/25秋/实验班/提优训练/人教版数学/K12/学龄儿童家长</t>
        </is>
      </c>
      <c r="E6" t="inlineStr">
        <is>
          <t>https://dcn8qexvg13r.feishu.cn/share/base/query/shrcnMqxwwRkV3NUIUxPeab3sec</t>
        </is>
      </c>
      <c r="F6" t="inlineStr">
        <is>
          <t>请添加微信：k846211</t>
        </is>
      </c>
      <c r="G6" t="inlineStr">
        <is>
          <t>2025-11-06</t>
        </is>
      </c>
    </row>
    <row r="7" ht="25.5" customHeight="1">
      <c r="A7" t="inlineStr">
        <is>
          <t>25秋《实验班提优大考卷》人教版数学1-6</t>
        </is>
      </c>
      <c r="B7" s="2" t="str">
        <f>=HYPERLINK("https://pan.quark.cn/s/f14d1ef1ba4a", "https://pan.quark.cn/s/f14d1ef1ba4a")</f>
        <v>https://pan.quark.cn/s/f14d1ef1ba4a</v>
      </c>
      <c r="C7" t="inlineStr">
        <is>
          <t>592M</t>
        </is>
      </c>
      <c r="D7" t="inlineStr">
        <is>
          <t>/数学/实验班提优/大考卷/人教版/K12/学龄儿童家长</t>
        </is>
      </c>
      <c r="E7" t="inlineStr">
        <is>
          <t>https://dcn8qexvg13r.feishu.cn/share/base/query/shrcnMqxwwRkV3NUIUxPeab3sec</t>
        </is>
      </c>
      <c r="F7" t="inlineStr">
        <is>
          <t>请添加微信：k846211</t>
        </is>
      </c>
      <c r="G7" t="inlineStr">
        <is>
          <t>2025-11-06</t>
        </is>
      </c>
    </row>
    <row r="8" ht="25.5" customHeight="1">
      <c r="A8" t="inlineStr">
        <is>
          <t>25秋《实验班提优大考卷》人教版语文1-5</t>
        </is>
      </c>
      <c r="B8" s="2" t="str">
        <f>=HYPERLINK("https://pan.quark.cn/s/8fb016a46582", "https://pan.quark.cn/s/8fb016a46582")</f>
        <v>https://pan.quark.cn/s/8fb016a46582</v>
      </c>
      <c r="C8" t="inlineStr">
        <is>
          <t>456.7M</t>
        </is>
      </c>
      <c r="D8" t="inlineStr">
        <is>
          <t>/实验班提优/人教版语文/1-5年级/考卷/小学语文/K12/学龄儿童家长</t>
        </is>
      </c>
      <c r="E8" t="inlineStr">
        <is>
          <t>https://dcn8qexvg13r.feishu.cn/share/base/query/shrcnMqxwwRkV3NUIUxPeab3sec</t>
        </is>
      </c>
      <c r="F8" t="inlineStr">
        <is>
          <t>请添加微信：k846211</t>
        </is>
      </c>
      <c r="G8" t="inlineStr">
        <is>
          <t>2025-11-06</t>
        </is>
      </c>
    </row>
    <row r="9" ht="25.5" customHeight="1">
      <c r="A9" t="inlineStr">
        <is>
          <t>大学课程资料</t>
        </is>
      </c>
      <c r="B9" s="2" t="str">
        <f>=HYPERLINK("https://pan.quark.cn/s/497dd41a5af8", "https://pan.quark.cn/s/497dd41a5af8")</f>
        <v>https://pan.quark.cn/s/497dd41a5af8</v>
      </c>
      <c r="C9" t="inlineStr">
        <is>
          <t>2.2G</t>
        </is>
      </c>
      <c r="D9" t="inlineStr">
        <is>
          <t>/大学课程/学习资料/知识提升/大学生</t>
        </is>
      </c>
      <c r="E9" t="inlineStr">
        <is>
          <t>https://dcn8qexvg13r.feishu.cn/share/base/query/shrcnMqxwwRkV3NUIUxPeab3sec</t>
        </is>
      </c>
      <c r="F9" t="inlineStr">
        <is>
          <t>请添加微信：k846211</t>
        </is>
      </c>
      <c r="G9" t="inlineStr">
        <is>
          <t>2025-11-06</t>
        </is>
      </c>
    </row>
    <row r="10" ht="25.5" customHeight="1">
      <c r="A10" t="inlineStr">
        <is>
          <t>简历模板个人简历表格300份</t>
        </is>
      </c>
      <c r="B10" s="2" t="str">
        <f>=HYPERLINK("https://pan.quark.cn/s/5256d56971c7", "https://pan.quark.cn/s/5256d56971c7")</f>
        <v>https://pan.quark.cn/s/5256d56971c7</v>
      </c>
      <c r="C10" t="inlineStr">
        <is>
          <t>240.9M</t>
        </is>
      </c>
      <c r="D10" t="inlineStr">
        <is>
          <t>/简历/表格/求职/简历模板/大学生/白领</t>
        </is>
      </c>
      <c r="E10" t="inlineStr">
        <is>
          <t>https://dcn8qexvg13r.feishu.cn/share/base/query/shrcnMqxwwRkV3NUIUxPeab3sec</t>
        </is>
      </c>
      <c r="F10" t="inlineStr">
        <is>
          <t>请添加微信：k846211</t>
        </is>
      </c>
      <c r="G10" t="inlineStr">
        <is>
          <t>2025-11-06</t>
        </is>
      </c>
    </row>
    <row r="11" ht="25.5" customHeight="1">
      <c r="A11" t="inlineStr">
        <is>
          <t>计算机等级考试资料</t>
        </is>
      </c>
      <c r="B11" s="2" t="str">
        <f>=HYPERLINK("https://pan.quark.cn/s/8621a2aebacb", "https://pan.quark.cn/s/8621a2aebacb")</f>
        <v>https://pan.quark.cn/s/8621a2aebacb</v>
      </c>
      <c r="C11" t="inlineStr">
        <is>
          <t>465.1G</t>
        </is>
      </c>
      <c r="D11" t="inlineStr">
        <is>
          <t>/计算机等级考试/考试辅导/备考资料/大学生/考研/考公/考证党</t>
        </is>
      </c>
      <c r="E11" t="inlineStr">
        <is>
          <t>https://dcn8qexvg13r.feishu.cn/share/base/query/shrcnMqxwwRkV3NUIUxPeab3sec</t>
        </is>
      </c>
      <c r="F11" t="inlineStr">
        <is>
          <t>请添加微信：k846211</t>
        </is>
      </c>
      <c r="G11" t="inlineStr">
        <is>
          <t>2025-11-06</t>
        </is>
      </c>
    </row>
    <row r="12" ht="25.5" customHeight="1">
      <c r="A12" t="inlineStr">
        <is>
          <t>英语四六级</t>
        </is>
      </c>
      <c r="B12" s="2" t="str">
        <f>=HYPERLINK("https://pan.quark.cn/s/3f385dddce71", "https://pan.quark.cn/s/3f385dddce71")</f>
        <v>https://pan.quark.cn/s/3f385dddce71</v>
      </c>
      <c r="C12" t="inlineStr">
        <is>
          <t>67.1G</t>
        </is>
      </c>
      <c r="D12" t="inlineStr">
        <is>
          <t>/英语/四六级/考试/备考/大学生/考研/考公/考证党</t>
        </is>
      </c>
      <c r="E12" t="inlineStr">
        <is>
          <t>https://dcn8qexvg13r.feishu.cn/share/base/query/shrcnMqxwwRkV3NUIUxPeab3sec</t>
        </is>
      </c>
      <c r="F12" t="inlineStr">
        <is>
          <t>请添加微信：k846211</t>
        </is>
      </c>
      <c r="G12" t="inlineStr">
        <is>
          <t>2025-11-06</t>
        </is>
      </c>
    </row>
    <row r="13" ht="25.5" customHeight="1">
      <c r="A13" t="inlineStr">
        <is>
          <t>满分阅读理解超全51套答题公式+答题技巧课件</t>
        </is>
      </c>
      <c r="B13" s="2" t="str">
        <f>=HYPERLINK("https://pan.quark.cn/s/3fff40cb44fb", "https://pan.quark.cn/s/3fff40cb44fb")</f>
        <v>https://pan.quark.cn/s/3fff40cb44fb</v>
      </c>
      <c r="C13" t="inlineStr">
        <is>
          <t>17.7G</t>
        </is>
      </c>
      <c r="D13" t="inlineStr">
        <is>
          <t>/阅读理解/答题公式/答题技巧/课件/K12/学龄儿童家长</t>
        </is>
      </c>
      <c r="E13" t="inlineStr">
        <is>
          <t>https://dcn8qexvg13r.feishu.cn/share/base/query/shrcnMqxwwRkV3NUIUxPeab3sec</t>
        </is>
      </c>
      <c r="F13" t="inlineStr">
        <is>
          <t>请添加微信：k846211</t>
        </is>
      </c>
      <c r="G13" t="inlineStr">
        <is>
          <t>2025-11-06</t>
        </is>
      </c>
    </row>
    <row r="14" ht="25.5" customHeight="1">
      <c r="A14" t="inlineStr">
        <is>
          <t>北辰课堂·走进小古文</t>
        </is>
      </c>
      <c r="B14" s="2" t="str">
        <f>=HYPERLINK("https://pan.quark.cn/s/1101dfbe280f", "https://pan.quark.cn/s/1101dfbe280f")</f>
        <v>https://pan.quark.cn/s/1101dfbe280f</v>
      </c>
      <c r="C14" t="inlineStr">
        <is>
          <t>6.6G</t>
        </is>
      </c>
      <c r="D14" t="inlineStr">
        <is>
          <t>/小古文/课堂/传统文化启蒙/K12/学龄儿童家长</t>
        </is>
      </c>
      <c r="E14" t="inlineStr">
        <is>
          <t>https://dcn8qexvg13r.feishu.cn/share/base/query/shrcnMqxwwRkV3NUIUxPeab3sec</t>
        </is>
      </c>
      <c r="F14" t="inlineStr">
        <is>
          <t>请添加微信：k846211</t>
        </is>
      </c>
      <c r="G14" t="inlineStr">
        <is>
          <t>2025-11-06</t>
        </is>
      </c>
    </row>
    <row r="15" ht="25.5" customHeight="1">
      <c r="A15" t="inlineStr">
        <is>
          <t>初中老封几何</t>
        </is>
      </c>
      <c r="B15" s="2" t="str">
        <f>=HYPERLINK("https://pan.quark.cn/s/c60423aa3181", "https://pan.quark.cn/s/c60423aa3181")</f>
        <v>https://pan.quark.cn/s/c60423aa3181</v>
      </c>
      <c r="C15" t="inlineStr">
        <is>
          <t>50.3G</t>
        </is>
      </c>
      <c r="D15" t="inlineStr">
        <is>
          <t>/初中数学/几何/教学资源/学习资料/K12/学龄儿童家长</t>
        </is>
      </c>
      <c r="E15" t="inlineStr">
        <is>
          <t>https://dcn8qexvg13r.feishu.cn/share/base/query/shrcnMqxwwRkV3NUIUxPeab3sec</t>
        </is>
      </c>
      <c r="F15" t="inlineStr">
        <is>
          <t>请添加微信：k846211</t>
        </is>
      </c>
      <c r="G15" t="inlineStr">
        <is>
          <t>2025-11-06</t>
        </is>
      </c>
    </row>
    <row r="16" ht="25.5" customHeight="1">
      <c r="A16" t="inlineStr">
        <is>
          <t>老封几何提高班</t>
        </is>
      </c>
      <c r="B16" s="2" t="str">
        <f>=HYPERLINK("https://pan.quark.cn/s/c83abe160634", "https://pan.quark.cn/s/c83abe160634")</f>
        <v>https://pan.quark.cn/s/c83abe160634</v>
      </c>
      <c r="C16" t="inlineStr">
        <is>
          <t>5.8G</t>
        </is>
      </c>
      <c r="D16" t="inlineStr">
        <is>
          <t>/几何/提高班/数学/K12/学龄儿童家长</t>
        </is>
      </c>
      <c r="E16" t="inlineStr">
        <is>
          <t>https://dcn8qexvg13r.feishu.cn/share/base/query/shrcnMqxwwRkV3NUIUxPeab3sec</t>
        </is>
      </c>
      <c r="F16" t="inlineStr">
        <is>
          <t>请添加微信：k846211</t>
        </is>
      </c>
      <c r="G16" t="inlineStr">
        <is>
          <t>2025-11-06</t>
        </is>
      </c>
    </row>
    <row r="17" ht="25.5" customHeight="1">
      <c r="A17" t="inlineStr">
        <is>
          <t>北辰课堂·走进小古文</t>
        </is>
      </c>
      <c r="B17" s="2" t="str">
        <f>=HYPERLINK("https://pan.quark.cn/s/468e069d5a73", "https://pan.quark.cn/s/468e069d5a73")</f>
        <v>https://pan.quark.cn/s/468e069d5a73</v>
      </c>
      <c r="C17" t="inlineStr">
        <is>
          <t>6.6G</t>
        </is>
      </c>
      <c r="D17" t="inlineStr">
        <is>
          <t>/小古文/北辰课堂/传统文化/教育课程/K12/学龄儿童家长</t>
        </is>
      </c>
      <c r="E17" t="inlineStr">
        <is>
          <t>https://dcn8qexvg13r.feishu.cn/share/base/query/shrcnMqxwwRkV3NUIUxPeab3sec</t>
        </is>
      </c>
      <c r="F17" t="inlineStr">
        <is>
          <t>请添加微信：k846211</t>
        </is>
      </c>
      <c r="G17" t="inlineStr">
        <is>
          <t>2025-11-06</t>
        </is>
      </c>
    </row>
    <row r="18" ht="25.5" customHeight="1">
      <c r="A18" t="inlineStr">
        <is>
          <t>花儿音标</t>
        </is>
      </c>
      <c r="B18" s="2" t="str">
        <f>=HYPERLINK("https://pan.quark.cn/s/e9c2a5a49fe5", "https://pan.quark.cn/s/e9c2a5a49fe5")</f>
        <v>https://pan.quark.cn/s/e9c2a5a49fe5</v>
      </c>
      <c r="C18" t="inlineStr">
        <is>
          <t>7.6G</t>
        </is>
      </c>
      <c r="D18" t="inlineStr">
        <is>
          <t>/花儿/音标/英语发音/语言学习/K12/语言</t>
        </is>
      </c>
      <c r="E18" t="inlineStr">
        <is>
          <t>https://dcn8qexvg13r.feishu.cn/share/base/query/shrcnMqxwwRkV3NUIUxPeab3sec</t>
        </is>
      </c>
      <c r="F18" t="inlineStr">
        <is>
          <t>请添加微信：k846211</t>
        </is>
      </c>
      <c r="G18" t="inlineStr">
        <is>
          <t>2025-11-06</t>
        </is>
      </c>
    </row>
    <row r="19" ht="25.5" customHeight="1">
      <c r="A19" t="inlineStr">
        <is>
          <t>小初高教辅资料</t>
        </is>
      </c>
      <c r="B19" s="2" t="str">
        <f>=HYPERLINK("https://pan.quark.cn/s/e10657ba5888", "https://pan.quark.cn/s/e10657ba5888")</f>
        <v>https://pan.quark.cn/s/e10657ba5888</v>
      </c>
      <c r="C19" t="inlineStr">
        <is>
          <t>5.5</t>
        </is>
      </c>
      <c r="D19" t="inlineStr">
        <is>
          <t>/小初高/教辅/学习辅导/K12/学龄儿童家长</t>
        </is>
      </c>
      <c r="E19" t="inlineStr">
        <is>
          <t>https://dcn8qexvg13r.feishu.cn/share/base/query/shrcnMqxwwRkV3NUIUxPeab3sec</t>
        </is>
      </c>
      <c r="F19" t="inlineStr">
        <is>
          <t>请添加微信：k846211</t>
        </is>
      </c>
      <c r="G19" t="inlineStr">
        <is>
          <t>2025-11-06</t>
        </is>
      </c>
    </row>
    <row r="20" ht="25.5" customHeight="1">
      <c r="A20" t="inlineStr">
        <is>
          <t>2026考研名师资料合集（持续更新）</t>
        </is>
      </c>
      <c r="B20" s="2" t="str">
        <f>=HYPERLINK("https://pan.quark.cn/s/39211cd59d8d", "https://pan.quark.cn/s/39211cd59d8d")</f>
        <v>https://pan.quark.cn/s/39211cd59d8d</v>
      </c>
      <c r="C20" t="inlineStr">
        <is>
          <t>37.2G</t>
        </is>
      </c>
      <c r="D20" t="inlineStr">
        <is>
          <t>/2026考研/名师/考研资料/考研备考/考研/考公/考证党</t>
        </is>
      </c>
      <c r="E20" t="inlineStr">
        <is>
          <t>https://dcn8qexvg13r.feishu.cn/share/base/query/shrcnMqxwwRkV3NUIUxPeab3sec</t>
        </is>
      </c>
      <c r="F20" t="inlineStr">
        <is>
          <t>请添加微信：k846211</t>
        </is>
      </c>
      <c r="G20" t="inlineStr">
        <is>
          <t>2025-11-06</t>
        </is>
      </c>
    </row>
    <row r="21" ht="25.5" customHeight="1">
      <c r="A21" t="inlineStr">
        <is>
          <t>考研复试资源资料汇总合集</t>
        </is>
      </c>
      <c r="B21" s="2" t="str">
        <f>=HYPERLINK("https://pan.quark.cn/s/9dac95b06db7", "https://pan.quark.cn/s/9dac95b06db7")</f>
        <v>https://pan.quark.cn/s/9dac95b06db7</v>
      </c>
      <c r="C21" t="inlineStr">
        <is>
          <t>2.6G</t>
        </is>
      </c>
      <c r="D21" t="inlineStr">
        <is>
          <t>/考研复试/资源汇总/备考资料/考研/考公/考证党</t>
        </is>
      </c>
      <c r="E21" t="inlineStr">
        <is>
          <t>https://dcn8qexvg13r.feishu.cn/share/base/query/shrcnMqxwwRkV3NUIUxPeab3sec</t>
        </is>
      </c>
      <c r="F21" t="inlineStr">
        <is>
          <t>请添加微信：k846211</t>
        </is>
      </c>
      <c r="G21" t="inlineStr">
        <is>
          <t>2025-11-06</t>
        </is>
      </c>
    </row>
    <row r="22" ht="25.5" customHeight="1">
      <c r="A22" t="inlineStr">
        <is>
          <t>【专升本】历年真题及答案解析</t>
        </is>
      </c>
      <c r="B22" s="2" t="str">
        <f>=HYPERLINK("https://pan.quark.cn/s/99982cccfa29", "https://pan.quark.cn/s/99982cccfa29")</f>
        <v>https://pan.quark.cn/s/99982cccfa29</v>
      </c>
      <c r="C22" t="inlineStr">
        <is>
          <t>235.5M</t>
        </is>
      </c>
      <c r="D22" t="inlineStr">
        <is>
          <t>/专升本/历年真题/答案解析/大学生/考研/考公/考证党</t>
        </is>
      </c>
      <c r="E22" t="inlineStr">
        <is>
          <t>https://dcn8qexvg13r.feishu.cn/share/base/query/shrcnMqxwwRkV3NUIUxPeab3sec</t>
        </is>
      </c>
      <c r="F22" t="inlineStr">
        <is>
          <t>请添加微信：k846211</t>
        </is>
      </c>
      <c r="G22" t="inlineStr">
        <is>
          <t>2025-11-06</t>
        </is>
      </c>
    </row>
    <row r="23" ht="25.5" customHeight="1">
      <c r="A23" t="inlineStr">
        <is>
          <t>教资教招合集</t>
        </is>
      </c>
      <c r="B23" s="2" t="str">
        <f>=HYPERLINK("https://pan.quark.cn/s/3bf05a4baacd", "https://pan.quark.cn/s/3bf05a4baacd")</f>
        <v>https://pan.quark.cn/s/3bf05a4baacd</v>
      </c>
      <c r="C23" t="inlineStr">
        <is>
          <t>627.5G</t>
        </is>
      </c>
      <c r="D23" t="inlineStr">
        <is>
          <t>/教资/教招/考试/备考/考研/考公/考证党/特定行业从业者</t>
        </is>
      </c>
      <c r="E23" t="inlineStr">
        <is>
          <t>https://dcn8qexvg13r.feishu.cn/share/base/query/shrcnMqxwwRkV3NUIUxPeab3sec</t>
        </is>
      </c>
      <c r="F23" t="inlineStr">
        <is>
          <t>请添加微信：k846211</t>
        </is>
      </c>
      <c r="G23" t="inlineStr">
        <is>
          <t>2025-11-06</t>
        </is>
      </c>
    </row>
    <row r="24" ht="25.5" customHeight="1">
      <c r="A24" t="inlineStr">
        <is>
          <t>专升本复习资料</t>
        </is>
      </c>
      <c r="B24" s="2" t="str">
        <f>=HYPERLINK("https://pan.quark.cn/s/c6d78f921b7f", "https://pan.quark.cn/s/c6d78f921b7f")</f>
        <v>https://pan.quark.cn/s/c6d78f921b7f</v>
      </c>
      <c r="C24" t="inlineStr">
        <is>
          <t>15.5M</t>
        </is>
      </c>
      <c r="D24" t="inlineStr">
        <is>
          <t>/专升本/升学/复习/备考/大学生/考研/考公/考证党</t>
        </is>
      </c>
      <c r="E24" t="inlineStr">
        <is>
          <t>https://dcn8qexvg13r.feishu.cn/share/base/query/shrcnMqxwwRkV3NUIUxPeab3sec</t>
        </is>
      </c>
      <c r="F24" t="inlineStr">
        <is>
          <t>请添加微信：k846211</t>
        </is>
      </c>
      <c r="G24" t="inlineStr">
        <is>
          <t>2025-11-06</t>
        </is>
      </c>
    </row>
    <row r="25" ht="25.5" customHeight="1">
      <c r="A25" t="inlineStr">
        <is>
          <t>AI生成视频整合包合集(注：整合包文件夹不要有任何中文路径，否则可能会运行失败，可都改为英文路径)</t>
        </is>
      </c>
      <c r="B25" s="2" t="str">
        <f>=HYPERLINK("https://pan.quark.cn/s/8f3a1b2337c5", "https://pan.quark.cn/s/8f3a1b2337c5")</f>
        <v>https://pan.quark.cn/s/8f3a1b2337c5</v>
      </c>
      <c r="C25" t="inlineStr">
        <is>
          <t>993.6G</t>
        </is>
      </c>
      <c r="D25" t="inlineStr">
        <is>
          <t>/AI生成视频/整合包/视频制作/设计素材/特定行业从业者/技能入门</t>
        </is>
      </c>
      <c r="E25" t="inlineStr">
        <is>
          <t>https://dcn8qexvg13r.feishu.cn/share/base/query/shrcnMqxwwRkV3NUIUxPeab3sec</t>
        </is>
      </c>
      <c r="F25" t="inlineStr">
        <is>
          <t>请添加微信：k846211</t>
        </is>
      </c>
      <c r="G25" t="inlineStr">
        <is>
          <t>2025-11-06</t>
        </is>
      </c>
    </row>
    <row r="26" ht="25.5" customHeight="1">
      <c r="A26" t="inlineStr">
        <is>
          <t>二年级（上）数学期中复习14天冲刺计划(1).pdf</t>
        </is>
      </c>
      <c r="B26" s="2" t="str">
        <f>=HYPERLINK("https://pan.quark.cn/s/00ef80a0cad8", "https://pan.quark.cn/s/00ef80a0cad8")</f>
        <v>https://pan.quark.cn/s/00ef80a0cad8</v>
      </c>
      <c r="C26" t="inlineStr">
        <is>
          <t>100.8M</t>
        </is>
      </c>
      <c r="D26" t="inlineStr">
        <is>
          <t>/二年级数学/期中复习/14天冲刺计划/数学复习/K12/学龄儿童家长</t>
        </is>
      </c>
      <c r="E26" t="inlineStr">
        <is>
          <t>https://dcn8qexvg13r.feishu.cn/share/base/query/shrcnMqxwwRkV3NUIUxPeab3sec</t>
        </is>
      </c>
      <c r="F26" t="inlineStr">
        <is>
          <t>请添加微信：k846211</t>
        </is>
      </c>
      <c r="G26" t="inlineStr">
        <is>
          <t>2025-11-06</t>
        </is>
      </c>
    </row>
    <row r="27" ht="25.5" customHeight="1">
      <c r="A27" t="inlineStr">
        <is>
          <t>25秋语文期中模拟测试卷</t>
        </is>
      </c>
      <c r="B27" s="2" t="str">
        <f>=HYPERLINK("https://pan.quark.cn/s/a30b8a87e104", "https://pan.quark.cn/s/a30b8a87e104")</f>
        <v>https://pan.quark.cn/s/a30b8a87e104</v>
      </c>
      <c r="C27" t="inlineStr">
        <is>
          <t>5M</t>
        </is>
      </c>
      <c r="D27" t="inlineStr">
        <is>
          <t>/语文/期中/模拟测试/K12/学龄儿童家长</t>
        </is>
      </c>
      <c r="E27" t="inlineStr">
        <is>
          <t>https://dcn8qexvg13r.feishu.cn/share/base/query/shrcnMqxwwRkV3NUIUxPeab3sec</t>
        </is>
      </c>
      <c r="F27" t="inlineStr">
        <is>
          <t>请添加微信：k846211</t>
        </is>
      </c>
      <c r="G27" t="inlineStr">
        <is>
          <t>2025-11-06</t>
        </is>
      </c>
    </row>
    <row r="28" ht="25.5" customHeight="1">
      <c r="A28" t="inlineStr">
        <is>
          <t>25秋人教版数学1-6年级期中测试卷</t>
        </is>
      </c>
      <c r="B28" s="2" t="str">
        <f>=HYPERLINK("https://pan.quark.cn/s/1ca4f15409f1", "https://pan.quark.cn/s/1ca4f15409f1")</f>
        <v>https://pan.quark.cn/s/1ca4f15409f1</v>
      </c>
      <c r="C28" t="inlineStr">
        <is>
          <t>17.8M</t>
        </is>
      </c>
      <c r="D28" t="inlineStr">
        <is>
          <t>/25秋/人教版数学/1-6年级/期中测试卷/K12/学龄儿童家长</t>
        </is>
      </c>
      <c r="E28" t="inlineStr">
        <is>
          <t>https://dcn8qexvg13r.feishu.cn/share/base/query/shrcnMqxwwRkV3NUIUxPeab3sec</t>
        </is>
      </c>
      <c r="F28" t="inlineStr">
        <is>
          <t>请添加微信：k846211</t>
        </is>
      </c>
      <c r="G28" t="inlineStr">
        <is>
          <t>2025-11-06</t>
        </is>
      </c>
    </row>
    <row r="29" ht="25.5" customHeight="1">
      <c r="A29" t="inlineStr">
        <is>
          <t>25秋北师大版数学1-6年级期中测试卷</t>
        </is>
      </c>
      <c r="B29" s="2" t="str">
        <f>=HYPERLINK("https://pan.quark.cn/s/730bc62199b0", "https://pan.quark.cn/s/730bc62199b0")</f>
        <v>https://pan.quark.cn/s/730bc62199b0</v>
      </c>
      <c r="C29" t="inlineStr">
        <is>
          <t>21.1M</t>
        </is>
      </c>
      <c r="D29" t="inlineStr">
        <is>
          <t>/北师大版数学/期中测试卷/1-6年级/K12/学龄儿童家长</t>
        </is>
      </c>
      <c r="E29" t="inlineStr">
        <is>
          <t>https://dcn8qexvg13r.feishu.cn/share/base/query/shrcnMqxwwRkV3NUIUxPeab3sec</t>
        </is>
      </c>
      <c r="F29" t="inlineStr">
        <is>
          <t>请添加微信：k846211</t>
        </is>
      </c>
      <c r="G29" t="inlineStr">
        <is>
          <t>2025-11-06</t>
        </is>
      </c>
    </row>
    <row r="30" ht="25.5" customHeight="1">
      <c r="A30" t="inlineStr">
        <is>
          <t>25秋苏教版数学1-6年级期中测试卷</t>
        </is>
      </c>
      <c r="B30" s="2" t="str">
        <f>=HYPERLINK("https://pan.quark.cn/s/f84dca0f2db1", "https://pan.quark.cn/s/f84dca0f2db1")</f>
        <v>https://pan.quark.cn/s/f84dca0f2db1</v>
      </c>
      <c r="C30" t="inlineStr">
        <is>
          <t>32.1M</t>
        </is>
      </c>
      <c r="D30" t="inlineStr">
        <is>
          <t>/苏教版数学/期中测试卷/1-6年级/25秋/K12/学龄儿童家长</t>
        </is>
      </c>
      <c r="E30" t="inlineStr">
        <is>
          <t>https://dcn8qexvg13r.feishu.cn/share/base/query/shrcnMqxwwRkV3NUIUxPeab3sec</t>
        </is>
      </c>
      <c r="F30" t="inlineStr">
        <is>
          <t>请添加微信：k846211</t>
        </is>
      </c>
      <c r="G30" t="inlineStr">
        <is>
          <t>2025-11-06</t>
        </is>
      </c>
    </row>
    <row r="31" ht="25.5" customHeight="1">
      <c r="A31" t="inlineStr">
        <is>
          <t>25秋冀教数学1-6年级期中测试卷</t>
        </is>
      </c>
      <c r="B31" s="2" t="str">
        <f>=HYPERLINK("https://pan.quark.cn/s/7941432b07ee", "https://pan.quark.cn/s/7941432b07ee")</f>
        <v>https://pan.quark.cn/s/7941432b07ee</v>
      </c>
      <c r="C31" t="inlineStr">
        <is>
          <t>28.7M</t>
        </is>
      </c>
      <c r="D31" t="inlineStr">
        <is>
          <t>/冀教数学/期中测试卷/1-6年级/小学数学/K12/学龄儿童家长</t>
        </is>
      </c>
      <c r="E31" t="inlineStr">
        <is>
          <t>https://dcn8qexvg13r.feishu.cn/share/base/query/shrcnMqxwwRkV3NUIUxPeab3sec</t>
        </is>
      </c>
      <c r="F31" t="inlineStr">
        <is>
          <t>请添加微信：k846211</t>
        </is>
      </c>
      <c r="G31" t="inlineStr">
        <is>
          <t>2025-11-06</t>
        </is>
      </c>
    </row>
    <row r="32" ht="25.5" customHeight="1">
      <c r="A32" t="inlineStr">
        <is>
          <t>25秋西师版数学1-6年级期中测试卷</t>
        </is>
      </c>
      <c r="B32" s="2" t="str">
        <f>=HYPERLINK("https://pan.quark.cn/s/2c59d67d4658", "https://pan.quark.cn/s/2c59d67d4658")</f>
        <v>https://pan.quark.cn/s/2c59d67d4658</v>
      </c>
      <c r="C32" t="inlineStr">
        <is>
          <t>18.3M</t>
        </is>
      </c>
      <c r="D32" t="inlineStr">
        <is>
          <t>/西师版数学/期中测试卷/1-6年级/小学/学龄儿童家长/K12</t>
        </is>
      </c>
      <c r="E32" t="inlineStr">
        <is>
          <t>https://dcn8qexvg13r.feishu.cn/share/base/query/shrcnMqxwwRkV3NUIUxPeab3sec</t>
        </is>
      </c>
      <c r="F32" t="inlineStr">
        <is>
          <t>请添加微信：k846211</t>
        </is>
      </c>
      <c r="G32" t="inlineStr">
        <is>
          <t>2025-11-06</t>
        </is>
      </c>
    </row>
    <row r="33" ht="25.5" customHeight="1">
      <c r="A33" t="inlineStr">
        <is>
          <t>25秋青岛版数学1-6年级期中测试卷</t>
        </is>
      </c>
      <c r="B33" s="2" t="str">
        <f>=HYPERLINK("https://pan.quark.cn/s/999b8193bd0c", "https://pan.quark.cn/s/999b8193bd0c")</f>
        <v>https://pan.quark.cn/s/999b8193bd0c</v>
      </c>
      <c r="C33" t="inlineStr">
        <is>
          <t>30.2M</t>
        </is>
      </c>
      <c r="D33" t="inlineStr">
        <is>
          <t>/青岛版数学/期中测试卷/1-6年级/25秋/K12/学龄儿童家长</t>
        </is>
      </c>
      <c r="E33" t="inlineStr">
        <is>
          <t>https://dcn8qexvg13r.feishu.cn/share/base/query/shrcnMqxwwRkV3NUIUxPeab3sec</t>
        </is>
      </c>
      <c r="F33" t="inlineStr">
        <is>
          <t>请添加微信：k846211</t>
        </is>
      </c>
      <c r="G33" t="inlineStr">
        <is>
          <t>2025-11-06</t>
        </is>
      </c>
    </row>
    <row r="34" ht="25.5" customHeight="1">
      <c r="A34" t="inlineStr">
        <is>
          <t>2025秋《学霸提优大试卷》语文 1上(1)</t>
        </is>
      </c>
      <c r="B34" s="2" t="str">
        <f>=HYPERLINK("https://pan.quark.cn/s/481f2dc0e074", "https://pan.quark.cn/s/481f2dc0e074")</f>
        <v>https://pan.quark.cn/s/481f2dc0e074</v>
      </c>
      <c r="C34" t="inlineStr">
        <is>
          <t>739.3M</t>
        </is>
      </c>
      <c r="D34" t="inlineStr">
        <is>
          <t>/语文/试卷/提优/1年级上册/K12/学龄儿童家长</t>
        </is>
      </c>
      <c r="E34" t="inlineStr">
        <is>
          <t>https://dcn8qexvg13r.feishu.cn/share/base/query/shrcnMqxwwRkV3NUIUxPeab3sec</t>
        </is>
      </c>
      <c r="F34" t="inlineStr">
        <is>
          <t>请添加微信：k846211</t>
        </is>
      </c>
      <c r="G34" t="inlineStr">
        <is>
          <t>2025-11-06</t>
        </is>
      </c>
    </row>
    <row r="35" ht="25.5" customHeight="1">
      <c r="A35" t="inlineStr">
        <is>
          <t>2025秋学霸提优大试卷 数学人教版1上(1)(1)</t>
        </is>
      </c>
      <c r="B35" s="2" t="str">
        <f>=HYPERLINK("https://pan.quark.cn/s/eb04d142499c", "https://pan.quark.cn/s/eb04d142499c")</f>
        <v>https://pan.quark.cn/s/eb04d142499c</v>
      </c>
      <c r="C35" t="inlineStr">
        <is>
          <t>168.9M</t>
        </is>
      </c>
      <c r="D35" t="inlineStr">
        <is>
          <t>/数学/人教版/一年级上册/提优/试卷/K12/学龄儿童家长</t>
        </is>
      </c>
      <c r="E35" t="inlineStr">
        <is>
          <t>https://dcn8qexvg13r.feishu.cn/share/base/query/shrcnMqxwwRkV3NUIUxPeab3sec</t>
        </is>
      </c>
      <c r="F35" t="inlineStr">
        <is>
          <t>请添加微信：k846211</t>
        </is>
      </c>
      <c r="G35" t="inlineStr">
        <is>
          <t>2025-11-06</t>
        </is>
      </c>
    </row>
    <row r="36" ht="25.5" customHeight="1">
      <c r="A36" t="inlineStr">
        <is>
          <t>termux.apk</t>
        </is>
      </c>
      <c r="B36" s="2" t="str">
        <f>=HYPERLINK("https://pan.quark.cn/s/6d4713840e7b", "https://pan.quark.cn/s/6d4713840e7b")</f>
        <v>https://pan.quark.cn/s/6d4713840e7b</v>
      </c>
      <c r="C36" t="inlineStr">
        <is>
          <t>81.8M</t>
        </is>
      </c>
      <c r="D36" t="inlineStr">
        <is>
          <t>/termux/安卓应用/Linux终端/编程工具/编程</t>
        </is>
      </c>
      <c r="E36" t="inlineStr">
        <is>
          <t>https://dcn8qexvg13r.feishu.cn/share/base/query/shrcnMqxwwRkV3NUIUxPeab3sec</t>
        </is>
      </c>
      <c r="F36" t="inlineStr">
        <is>
          <t>请添加微信：k846211</t>
        </is>
      </c>
      <c r="G36" t="inlineStr">
        <is>
          <t>2025-11-07</t>
        </is>
      </c>
    </row>
    <row r="37" ht="25.5" customHeight="1">
      <c r="A37" t="inlineStr">
        <is>
          <t>Postman-win64-Setup.exe</t>
        </is>
      </c>
      <c r="B37" s="2" t="str">
        <f>=HYPERLINK("https://pan.quark.cn/s/e332e6aa4f92", "https://pan.quark.cn/s/e332e6aa4f92")</f>
        <v>https://pan.quark.cn/s/e332e6aa4f92</v>
      </c>
      <c r="C37" t="inlineStr">
        <is>
          <t>130.8M</t>
        </is>
      </c>
      <c r="D37" t="inlineStr">
        <is>
          <t>/Postman/API测试/接口调试/开发工具/编程/特定行业从业者</t>
        </is>
      </c>
      <c r="E37" t="inlineStr">
        <is>
          <t>https://dcn8qexvg13r.feishu.cn/share/base/query/shrcnMqxwwRkV3NUIUxPeab3sec</t>
        </is>
      </c>
      <c r="F37" t="inlineStr">
        <is>
          <t>请添加微信：k846211</t>
        </is>
      </c>
      <c r="G37" t="inlineStr">
        <is>
          <t>2025-11-07</t>
        </is>
      </c>
    </row>
    <row r="38" ht="25.5" customHeight="1">
      <c r="A38" t="inlineStr">
        <is>
          <t>AI视频自动剪辑大师</t>
        </is>
      </c>
      <c r="B38" s="2" t="str">
        <f>=HYPERLINK("https://pan.quark.cn/s/5b6ecd466027", "https://pan.quark.cn/s/5b6ecd466027")</f>
        <v>https://pan.quark.cn/s/5b6ecd466027</v>
      </c>
      <c r="C38" t="inlineStr">
        <is>
          <t>567.7M</t>
        </is>
      </c>
      <c r="D38" t="inlineStr">
        <is>
          <t>/AI/视频剪辑/自动剪辑/工具/白领/特定行业从业者</t>
        </is>
      </c>
      <c r="E38" t="inlineStr">
        <is>
          <t>https://dcn8qexvg13r.feishu.cn/share/base/query/shrcnMqxwwRkV3NUIUxPeab3sec</t>
        </is>
      </c>
      <c r="F38" t="inlineStr">
        <is>
          <t>请添加微信：k846211</t>
        </is>
      </c>
      <c r="G38" t="inlineStr">
        <is>
          <t>2025-11-07</t>
        </is>
      </c>
    </row>
    <row r="39" ht="25.5" customHeight="1">
      <c r="A39" t="inlineStr">
        <is>
          <t>【100508】中视频搬运玩法6.0，利用软件双重去重，100%过原创，多平台一键分发，小白也能月入5w+</t>
        </is>
      </c>
      <c r="B39" s="2" t="str">
        <f>=HYPERLINK("https://pan.quark.cn/s/19edc098d00d", "https://pan.quark.cn/s/19edc098d00d")</f>
        <v>https://pan.quark.cn/s/19edc098d00d</v>
      </c>
      <c r="C39" t="inlineStr">
        <is>
          <t>403.1M</t>
        </is>
      </c>
      <c r="D39" t="inlineStr">
        <is>
          <t>中视频/搬运玩法/去重技术/多平台分发/月入5w+/技能入门/其他</t>
        </is>
      </c>
      <c r="E39" t="inlineStr">
        <is>
          <t>https://dcn8qexvg13r.feishu.cn/share/base/query/shrcnMqxwwRkV3NUIUxPeab3sec</t>
        </is>
      </c>
      <c r="F39" t="inlineStr">
        <is>
          <t>请添加微信：k846211</t>
        </is>
      </c>
      <c r="G39" t="inlineStr">
        <is>
          <t>2025-11-07</t>
        </is>
      </c>
    </row>
    <row r="40" ht="25.5" customHeight="1">
      <c r="A40" t="inlineStr">
        <is>
          <t>用DeepSeek写爆文，日引300+创业粉，做知识付费每天四位数变现(附详细实操教程)</t>
        </is>
      </c>
      <c r="B40" s="2" t="str">
        <f>=HYPERLINK("https://pan.quark.cn/s/dceaf0b6ffe1", "https://pan.quark.cn/s/dceaf0b6ffe1")</f>
        <v>https://pan.quark.cn/s/dceaf0b6ffe1</v>
      </c>
      <c r="C40" t="inlineStr">
        <is>
          <t>426.1M</t>
        </is>
      </c>
      <c r="D40" t="inlineStr">
        <is>
          <t>/DeepSeek/爆文写作/创业粉引流/知识付费/变现教程/白领/特定行业从业者</t>
        </is>
      </c>
      <c r="E40" t="inlineStr">
        <is>
          <t>https://dcn8qexvg13r.feishu.cn/share/base/query/shrcnMqxwwRkV3NUIUxPeab3sec</t>
        </is>
      </c>
      <c r="F40" t="inlineStr">
        <is>
          <t>请添加微信：k846211</t>
        </is>
      </c>
      <c r="G40" t="inlineStr">
        <is>
          <t>2025-11-07</t>
        </is>
      </c>
    </row>
    <row r="41" ht="25.5" customHeight="1">
      <c r="A41" t="inlineStr">
        <is>
          <t>新一年级语文看图文写拼音专项训练50天（25页).pdf</t>
        </is>
      </c>
      <c r="B41" s="2" t="str">
        <f>=HYPERLINK("https://pan.quark.cn/s/109b798c6906", "https://pan.quark.cn/s/109b798c6906")</f>
        <v>https://pan.quark.cn/s/109b798c6906</v>
      </c>
      <c r="C41" t="inlineStr">
        <is>
          <t>3.5M</t>
        </is>
      </c>
      <c r="D41" t="inlineStr">
        <is>
          <t>/新一年级语文/看图文写拼音/专项训练/50天/K12/学龄儿童家长</t>
        </is>
      </c>
      <c r="E41" t="inlineStr">
        <is>
          <t>https://dcn8qexvg13r.feishu.cn/share/base/query/shrcnMqxwwRkV3NUIUxPeab3sec</t>
        </is>
      </c>
      <c r="F41" t="inlineStr">
        <is>
          <t>请添加微信：k846211</t>
        </is>
      </c>
      <c r="G41" t="inlineStr">
        <is>
          <t>2025-11-08</t>
        </is>
      </c>
    </row>
    <row r="42" ht="25.5" customHeight="1">
      <c r="A42" t="inlineStr">
        <is>
          <t>一年级上册语文期中专项归类复习：拼音字词、课文内容.pdf</t>
        </is>
      </c>
      <c r="B42" s="2" t="str">
        <f>=HYPERLINK("https://pan.quark.cn/s/d8919a0fe17b", "https://pan.quark.cn/s/d8919a0fe17b")</f>
        <v>https://pan.quark.cn/s/d8919a0fe17b</v>
      </c>
      <c r="C42" t="inlineStr">
        <is>
          <t>30.8M</t>
        </is>
      </c>
      <c r="D42" t="inlineStr">
        <is>
          <t>/一年级语文/期中复习/拼音字词/课文内容/K12/学龄儿童家长</t>
        </is>
      </c>
      <c r="E42" t="inlineStr">
        <is>
          <t>https://dcn8qexvg13r.feishu.cn/share/base/query/shrcnMqxwwRkV3NUIUxPeab3sec</t>
        </is>
      </c>
      <c r="F42" t="inlineStr">
        <is>
          <t>请添加微信：k846211</t>
        </is>
      </c>
      <c r="G42" t="inlineStr">
        <is>
          <t>2025-11-08</t>
        </is>
      </c>
    </row>
    <row r="43" ht="25.5" customHeight="1">
      <c r="A43" t="inlineStr">
        <is>
          <t>部编三上期中复习（178）.pdf</t>
        </is>
      </c>
      <c r="B43" s="2" t="str">
        <f>=HYPERLINK("https://pan.quark.cn/s/43d17bfcf198", "https://pan.quark.cn/s/43d17bfcf198")</f>
        <v>https://pan.quark.cn/s/43d17bfcf198</v>
      </c>
      <c r="C43" t="inlineStr">
        <is>
          <t>96.5M</t>
        </is>
      </c>
      <c r="D43" t="inlineStr">
        <is>
          <t>/部编版/三年级上册/期中复习/复习资料/K12/学龄儿童家长</t>
        </is>
      </c>
      <c r="E43" t="inlineStr">
        <is>
          <t>https://dcn8qexvg13r.feishu.cn/share/base/query/shrcnMqxwwRkV3NUIUxPeab3sec</t>
        </is>
      </c>
      <c r="F43" t="inlineStr">
        <is>
          <t>请添加微信：k846211</t>
        </is>
      </c>
      <c r="G43" t="inlineStr">
        <is>
          <t>2025-11-08</t>
        </is>
      </c>
    </row>
    <row r="44" ht="25.5" customHeight="1">
      <c r="A44" t="inlineStr">
        <is>
          <t>25年新版三上数学期中复习14天冲刺计划(1).pdf</t>
        </is>
      </c>
      <c r="B44" s="2" t="str">
        <f>=HYPERLINK("https://pan.quark.cn/s/dc7c6066de08", "https://pan.quark.cn/s/dc7c6066de08")</f>
        <v>https://pan.quark.cn/s/dc7c6066de08</v>
      </c>
      <c r="C44" t="inlineStr">
        <is>
          <t>29.3M</t>
        </is>
      </c>
      <c r="D44" t="inlineStr">
        <is>
          <t>/三年级数学/期中复习/14天冲刺/计划/K12/学龄儿童家长</t>
        </is>
      </c>
      <c r="E44" t="inlineStr">
        <is>
          <t>https://dcn8qexvg13r.feishu.cn/share/base/query/shrcnMqxwwRkV3NUIUxPeab3sec</t>
        </is>
      </c>
      <c r="F44" t="inlineStr">
        <is>
          <t>请添加微信：k846211</t>
        </is>
      </c>
      <c r="G44" t="inlineStr">
        <is>
          <t>2025-11-08</t>
        </is>
      </c>
    </row>
    <row r="45" ht="25.5" customHeight="1">
      <c r="A45" t="inlineStr">
        <is>
          <t>25秋三年级（上）数学期中复习14天冲刺计划.pdf</t>
        </is>
      </c>
      <c r="B45" s="2" t="str">
        <f>=HYPERLINK("https://pan.quark.cn/s/28c8a5ffa622", "https://pan.quark.cn/s/28c8a5ffa622")</f>
        <v>https://pan.quark.cn/s/28c8a5ffa622</v>
      </c>
      <c r="C45" t="inlineStr">
        <is>
          <t>29.3M</t>
        </is>
      </c>
      <c r="D45" t="inlineStr">
        <is>
          <t>/三年级数学/期中复习/冲刺计划/数学复习/K12/学龄儿童家长</t>
        </is>
      </c>
      <c r="E45" t="inlineStr">
        <is>
          <t>https://dcn8qexvg13r.feishu.cn/share/base/query/shrcnMqxwwRkV3NUIUxPeab3sec</t>
        </is>
      </c>
      <c r="F45" t="inlineStr">
        <is>
          <t>请添加微信：k846211</t>
        </is>
      </c>
      <c r="G45" t="inlineStr">
        <is>
          <t>2025-11-08</t>
        </is>
      </c>
    </row>
    <row r="46" ht="25.5" customHeight="1">
      <c r="A46" t="inlineStr">
        <is>
          <t>三年级上册语文期中专项归类复习：字词、句子品析、课文内容.pdf</t>
        </is>
      </c>
      <c r="B46" s="2" t="str">
        <f>=HYPERLINK("https://pan.quark.cn/s/aa6357fff987", "https://pan.quark.cn/s/aa6357fff987")</f>
        <v>https://pan.quark.cn/s/aa6357fff987</v>
      </c>
      <c r="C46" t="inlineStr">
        <is>
          <t>18.4M</t>
        </is>
      </c>
      <c r="D46" t="inlineStr">
        <is>
          <t>/三年级语文/期中复习/字词/句子品析/K12/学龄儿童家长</t>
        </is>
      </c>
      <c r="E46" t="inlineStr">
        <is>
          <t>https://dcn8qexvg13r.feishu.cn/share/base/query/shrcnMqxwwRkV3NUIUxPeab3sec</t>
        </is>
      </c>
      <c r="F46" t="inlineStr">
        <is>
          <t>请添加微信：k846211</t>
        </is>
      </c>
      <c r="G46" t="inlineStr">
        <is>
          <t>2025-11-08</t>
        </is>
      </c>
    </row>
    <row r="47" ht="25.5" customHeight="1">
      <c r="A47" t="inlineStr">
        <is>
          <t>三（上）语文期中复习考点通关练习（含答案18页）.pdf</t>
        </is>
      </c>
      <c r="B47" s="2" t="str">
        <f>=HYPERLINK("https://pan.quark.cn/s/e52bc70235e1", "https://pan.quark.cn/s/e52bc70235e1")</f>
        <v>https://pan.quark.cn/s/e52bc70235e1</v>
      </c>
      <c r="C47" t="inlineStr">
        <is>
          <t>9.7M</t>
        </is>
      </c>
      <c r="D47" t="inlineStr">
        <is>
          <t>/三年级语文/期中复习/考点/练习/答案/K12/学龄儿童家长</t>
        </is>
      </c>
      <c r="E47" t="inlineStr">
        <is>
          <t>https://dcn8qexvg13r.feishu.cn/share/base/query/shrcnMqxwwRkV3NUIUxPeab3sec</t>
        </is>
      </c>
      <c r="F47" t="inlineStr">
        <is>
          <t>请添加微信：k846211</t>
        </is>
      </c>
      <c r="G47" t="inlineStr">
        <is>
          <t>2025-11-08</t>
        </is>
      </c>
    </row>
    <row r="48" ht="25.5" customHeight="1">
      <c r="A48" t="inlineStr">
        <is>
          <t>25版《期中综合复习》三年级上册.pdf</t>
        </is>
      </c>
      <c r="B48" s="2" t="str">
        <f>=HYPERLINK("https://pan.quark.cn/s/ca2f7fc484fa", "https://pan.quark.cn/s/ca2f7fc484fa")</f>
        <v>https://pan.quark.cn/s/ca2f7fc484fa</v>
      </c>
      <c r="C48" t="inlineStr">
        <is>
          <t>5.4M</t>
        </is>
      </c>
      <c r="D48" t="inlineStr">
        <is>
          <t>/期中复习/三年级上册/综合复习/小学/学龄儿童家长/K12</t>
        </is>
      </c>
      <c r="E48" t="inlineStr">
        <is>
          <t>https://dcn8qexvg13r.feishu.cn/share/base/query/shrcnMqxwwRkV3NUIUxPeab3sec</t>
        </is>
      </c>
      <c r="F48" t="inlineStr">
        <is>
          <t>请添加微信：k846211</t>
        </is>
      </c>
      <c r="G48" t="inlineStr">
        <is>
          <t>2025-11-08</t>
        </is>
      </c>
    </row>
    <row r="49" ht="25.5" customHeight="1">
      <c r="A49" t="inlineStr">
        <is>
          <t>三年级（上）语文期中三轮复习法 .pdf</t>
        </is>
      </c>
      <c r="B49" s="2" t="str">
        <f>=HYPERLINK("https://pan.quark.cn/s/9916730cc8ca", "https://pan.quark.cn/s/9916730cc8ca")</f>
        <v>https://pan.quark.cn/s/9916730cc8ca</v>
      </c>
      <c r="C49" t="inlineStr">
        <is>
          <t>1.2M</t>
        </is>
      </c>
      <c r="D49" t="inlineStr">
        <is>
          <t>/三年级语文/期中复习/三轮复习法/pdf/学龄儿童家长/K12</t>
        </is>
      </c>
      <c r="E49" t="inlineStr">
        <is>
          <t>https://dcn8qexvg13r.feishu.cn/share/base/query/shrcnMqxwwRkV3NUIUxPeab3sec</t>
        </is>
      </c>
      <c r="F49" t="inlineStr">
        <is>
          <t>请添加微信：k846211</t>
        </is>
      </c>
      <c r="G49" t="inlineStr">
        <is>
          <t>2025-11-08</t>
        </is>
      </c>
    </row>
    <row r="50" ht="25.5" customHeight="1">
      <c r="A50" t="inlineStr">
        <is>
          <t>三年级上册语文期中复习提纲汇总.pdf</t>
        </is>
      </c>
      <c r="B50" s="2" t="str">
        <f>=HYPERLINK("https://pan.quark.cn/s/36ba2a799496", "https://pan.quark.cn/s/36ba2a799496")</f>
        <v>https://pan.quark.cn/s/36ba2a799496</v>
      </c>
      <c r="C50" t="inlineStr">
        <is>
          <t>4.1M</t>
        </is>
      </c>
      <c r="D50" t="inlineStr">
        <is>
          <t>/三年级语文/期中复习/复习提纲/K12/学龄儿童家长</t>
        </is>
      </c>
      <c r="E50" t="inlineStr">
        <is>
          <t>https://dcn8qexvg13r.feishu.cn/share/base/query/shrcnMqxwwRkV3NUIUxPeab3sec</t>
        </is>
      </c>
      <c r="F50" t="inlineStr">
        <is>
          <t>请添加微信：k846211</t>
        </is>
      </c>
      <c r="G50" t="inlineStr">
        <is>
          <t>2025-11-08</t>
        </is>
      </c>
    </row>
    <row r="51" ht="25.5" customHeight="1">
      <c r="A51" t="inlineStr">
        <is>
          <t>黄冈小状元期末专题二年级上册英语沪教牛津版.pdf</t>
        </is>
      </c>
      <c r="B51" s="2" t="str">
        <f>=HYPERLINK("https://pan.quark.cn/s/361de5d4b73c", "https://pan.quark.cn/s/361de5d4b73c")</f>
        <v>https://pan.quark.cn/s/361de5d4b73c</v>
      </c>
      <c r="C51" t="inlineStr">
        <is>
          <t>11.6M</t>
        </is>
      </c>
      <c r="D51" t="inlineStr">
        <is>
          <t>/二年级上册英语/沪教牛津版/期末专题/K12/学龄儿童家长</t>
        </is>
      </c>
      <c r="E51" t="inlineStr">
        <is>
          <t>https://dcn8qexvg13r.feishu.cn/share/base/query/shrcnMqxwwRkV3NUIUxPeab3sec</t>
        </is>
      </c>
      <c r="F51" t="inlineStr">
        <is>
          <t>请添加微信：k846211</t>
        </is>
      </c>
      <c r="G51" t="inlineStr">
        <is>
          <t>2025-11-08</t>
        </is>
      </c>
    </row>
    <row r="52" ht="25.5" customHeight="1">
      <c r="A52" t="inlineStr">
        <is>
          <t>黄冈小状元期中专题二年级下册英语沪教牛津版.pdf</t>
        </is>
      </c>
      <c r="B52" s="2" t="str">
        <f>=HYPERLINK("https://pan.quark.cn/s/adc8b541e7f5", "https://pan.quark.cn/s/adc8b541e7f5")</f>
        <v>https://pan.quark.cn/s/adc8b541e7f5</v>
      </c>
      <c r="C52" t="inlineStr">
        <is>
          <t>2.4M</t>
        </is>
      </c>
      <c r="D52" t="inlineStr">
        <is>
          <t>/二年级下册英语/沪教牛津版/期中专题/黄冈小状元/K12/学龄儿童家长</t>
        </is>
      </c>
      <c r="E52" t="inlineStr">
        <is>
          <t>https://dcn8qexvg13r.feishu.cn/share/base/query/shrcnMqxwwRkV3NUIUxPeab3sec</t>
        </is>
      </c>
      <c r="F52" t="inlineStr">
        <is>
          <t>请添加微信：k846211</t>
        </is>
      </c>
      <c r="G52" t="inlineStr">
        <is>
          <t>2025-11-08</t>
        </is>
      </c>
    </row>
    <row r="53" ht="25.5" customHeight="1">
      <c r="A53" t="inlineStr">
        <is>
          <t>2025年新版六年级语文知识点总结（全册高频考点汇总）.pdf</t>
        </is>
      </c>
      <c r="B53" s="2" t="str">
        <f>=HYPERLINK("https://pan.quark.cn/s/02a2ba3788d3", "https://pan.quark.cn/s/02a2ba3788d3")</f>
        <v>https://pan.quark.cn/s/02a2ba3788d3</v>
      </c>
      <c r="C53" t="inlineStr">
        <is>
          <t>1.3M</t>
        </is>
      </c>
      <c r="D53" t="inlineStr">
        <is>
          <t>/六年级语文/知识点总结/高频考点/K12/学龄儿童家长</t>
        </is>
      </c>
      <c r="E53" t="inlineStr">
        <is>
          <t>https://dcn8qexvg13r.feishu.cn/share/base/query/shrcnMqxwwRkV3NUIUxPeab3sec</t>
        </is>
      </c>
      <c r="F53" t="inlineStr">
        <is>
          <t>请添加微信：k846211</t>
        </is>
      </c>
      <c r="G53" t="inlineStr">
        <is>
          <t>2025-11-08</t>
        </is>
      </c>
    </row>
    <row r="54" ht="25.5" customHeight="1">
      <c r="A54" t="inlineStr">
        <is>
          <t>2025年新版五年级语文知识点总结（全册高频考点汇总）.pdf</t>
        </is>
      </c>
      <c r="B54" s="2" t="str">
        <f>=HYPERLINK("https://pan.quark.cn/s/f0b196c507b8", "https://pan.quark.cn/s/f0b196c507b8")</f>
        <v>https://pan.quark.cn/s/f0b196c507b8</v>
      </c>
      <c r="C54" t="inlineStr">
        <is>
          <t>594.8K</t>
        </is>
      </c>
      <c r="D54" t="inlineStr">
        <is>
          <t>/五年级语文/知识点总结/高频考点/2025新版/K12/学龄儿童家长</t>
        </is>
      </c>
      <c r="E54" t="inlineStr">
        <is>
          <t>https://dcn8qexvg13r.feishu.cn/share/base/query/shrcnMqxwwRkV3NUIUxPeab3sec</t>
        </is>
      </c>
      <c r="F54" t="inlineStr">
        <is>
          <t>请添加微信：k846211</t>
        </is>
      </c>
      <c r="G54" t="inlineStr">
        <is>
          <t>2025-11-08</t>
        </is>
      </c>
    </row>
    <row r="55" ht="25.5" customHeight="1">
      <c r="A55" t="inlineStr">
        <is>
          <t>2025年新版四年级语文知识点总结（全册高频考点汇总）.pdf</t>
        </is>
      </c>
      <c r="B55" s="2" t="str">
        <f>=HYPERLINK("https://pan.quark.cn/s/a41fccd6195e", "https://pan.quark.cn/s/a41fccd6195e")</f>
        <v>https://pan.quark.cn/s/a41fccd6195e</v>
      </c>
      <c r="C55" t="inlineStr">
        <is>
          <t>1.4M</t>
        </is>
      </c>
      <c r="D55" t="inlineStr">
        <is>
          <t>/四年级语文/知识点总结/高频考点/语文学习/K12/学龄儿童家长</t>
        </is>
      </c>
      <c r="E55" t="inlineStr">
        <is>
          <t>https://dcn8qexvg13r.feishu.cn/share/base/query/shrcnMqxwwRkV3NUIUxPeab3sec</t>
        </is>
      </c>
      <c r="F55" t="inlineStr">
        <is>
          <t>请添加微信：k846211</t>
        </is>
      </c>
      <c r="G55" t="inlineStr">
        <is>
          <t>2025-11-08</t>
        </is>
      </c>
    </row>
    <row r="56" ht="25.5" customHeight="1">
      <c r="A56" t="inlineStr">
        <is>
          <t>2025年新版三年级语文知识点总结（全册高频考点汇总）.pdf</t>
        </is>
      </c>
      <c r="B56" s="2" t="str">
        <f>=HYPERLINK("https://pan.quark.cn/s/6736dcde7ac7", "https://pan.quark.cn/s/6736dcde7ac7")</f>
        <v>https://pan.quark.cn/s/6736dcde7ac7</v>
      </c>
      <c r="C56" t="inlineStr">
        <is>
          <t>13.7M</t>
        </is>
      </c>
      <c r="D56" t="inlineStr">
        <is>
          <t>/三年级语文/知识点总结/高频考点/语文学习/K12/学龄儿童家长</t>
        </is>
      </c>
      <c r="E56" t="inlineStr">
        <is>
          <t>https://dcn8qexvg13r.feishu.cn/share/base/query/shrcnMqxwwRkV3NUIUxPeab3sec</t>
        </is>
      </c>
      <c r="F56" t="inlineStr">
        <is>
          <t>请添加微信：k846211</t>
        </is>
      </c>
      <c r="G56" t="inlineStr">
        <is>
          <t>2025-11-08</t>
        </is>
      </c>
    </row>
    <row r="57" ht="25.5" customHeight="1">
      <c r="A57" t="inlineStr">
        <is>
          <t>2025年新版二年级语文知识点总结（期中高频考点汇总）.pdf</t>
        </is>
      </c>
      <c r="B57" s="2" t="str">
        <f>=HYPERLINK("https://pan.quark.cn/s/9722a42d3b33", "https://pan.quark.cn/s/9722a42d3b33")</f>
        <v>https://pan.quark.cn/s/9722a42d3b33</v>
      </c>
      <c r="C57" t="inlineStr">
        <is>
          <t>18.2M</t>
        </is>
      </c>
      <c r="D57" t="inlineStr">
        <is>
          <t>/二年级语文/期中高频考点/知识点总结/K12/学龄儿童家长</t>
        </is>
      </c>
      <c r="E57" t="inlineStr">
        <is>
          <t>https://dcn8qexvg13r.feishu.cn/share/base/query/shrcnMqxwwRkV3NUIUxPeab3sec</t>
        </is>
      </c>
      <c r="F57" t="inlineStr">
        <is>
          <t>请添加微信：k846211</t>
        </is>
      </c>
      <c r="G57" t="inlineStr">
        <is>
          <t>2025-11-08</t>
        </is>
      </c>
    </row>
    <row r="58" ht="25.5" customHeight="1">
      <c r="A58" t="inlineStr">
        <is>
          <t>2025年新版一年级语文知识点总结（期中高频考点汇总）.pdf</t>
        </is>
      </c>
      <c r="B58" s="2" t="str">
        <f>=HYPERLINK("https://pan.quark.cn/s/1ffc9961436c", "https://pan.quark.cn/s/1ffc9961436c")</f>
        <v>https://pan.quark.cn/s/1ffc9961436c</v>
      </c>
      <c r="C58" t="inlineStr">
        <is>
          <t>1.1M</t>
        </is>
      </c>
      <c r="D58" t="inlineStr">
        <is>
          <t>/一年级语文/期中考点/知识点总结/高频考点/K12/学龄儿童家长</t>
        </is>
      </c>
      <c r="E58" t="inlineStr">
        <is>
          <t>https://dcn8qexvg13r.feishu.cn/share/base/query/shrcnMqxwwRkV3NUIUxPeab3sec</t>
        </is>
      </c>
      <c r="F58" t="inlineStr">
        <is>
          <t>请添加微信：k846211</t>
        </is>
      </c>
      <c r="G58" t="inlineStr">
        <is>
          <t>2025-11-08</t>
        </is>
      </c>
    </row>
    <row r="59" ht="25.5" customHeight="1">
      <c r="A59" t="inlineStr">
        <is>
          <t>语法专项（英语人教6上）Unit1~6.pdf</t>
        </is>
      </c>
      <c r="B59" s="2" t="str">
        <f>=HYPERLINK("https://pan.quark.cn/s/1fe7792a675c", "https://pan.quark.cn/s/1fe7792a675c")</f>
        <v>https://pan.quark.cn/s/1fe7792a675c</v>
      </c>
      <c r="C59" t="inlineStr">
        <is>
          <t>4.1M</t>
        </is>
      </c>
      <c r="D59" t="inlineStr">
        <is>
          <t>/英语语法/小学六年级/专项练习/人教版/K12/学龄儿童家长</t>
        </is>
      </c>
      <c r="E59" t="inlineStr">
        <is>
          <t>https://dcn8qexvg13r.feishu.cn/share/base/query/shrcnMqxwwRkV3NUIUxPeab3sec</t>
        </is>
      </c>
      <c r="F59" t="inlineStr">
        <is>
          <t>请添加微信：k846211</t>
        </is>
      </c>
      <c r="G59" t="inlineStr">
        <is>
          <t>2025-11-08</t>
        </is>
      </c>
    </row>
    <row r="60" ht="25.5" customHeight="1">
      <c r="A60" t="inlineStr">
        <is>
          <t>语法专项（英语人教5上）Unit1~6.pdf</t>
        </is>
      </c>
      <c r="B60" s="2" t="str">
        <f>=HYPERLINK("https://pan.quark.cn/s/db31872c2d8e", "https://pan.quark.cn/s/db31872c2d8e")</f>
        <v>https://pan.quark.cn/s/db31872c2d8e</v>
      </c>
      <c r="C60" t="inlineStr">
        <is>
          <t>4.4M</t>
        </is>
      </c>
      <c r="D60" t="inlineStr">
        <is>
          <t>/英语语法/五年级上册/人教版/语法专项/K12/学龄儿童家长</t>
        </is>
      </c>
      <c r="E60" t="inlineStr">
        <is>
          <t>https://dcn8qexvg13r.feishu.cn/share/base/query/shrcnMqxwwRkV3NUIUxPeab3sec</t>
        </is>
      </c>
      <c r="F60" t="inlineStr">
        <is>
          <t>请添加微信：k846211</t>
        </is>
      </c>
      <c r="G60" t="inlineStr">
        <is>
          <t>2025-11-08</t>
        </is>
      </c>
    </row>
    <row r="61" ht="25.5" customHeight="1">
      <c r="A61" t="inlineStr">
        <is>
          <t>语法专项（英语人教4上）Unit1~6.pdf</t>
        </is>
      </c>
      <c r="B61" s="2" t="str">
        <f>=HYPERLINK("https://pan.quark.cn/s/e62a43b0c043", "https://pan.quark.cn/s/e62a43b0c043")</f>
        <v>https://pan.quark.cn/s/e62a43b0c043</v>
      </c>
      <c r="C61" t="inlineStr">
        <is>
          <t>7.1M</t>
        </is>
      </c>
      <c r="D61" t="inlineStr">
        <is>
          <t>/英语语法/四年级上册/专项练习/人教教材/K12/学龄儿童家长</t>
        </is>
      </c>
      <c r="E61" t="inlineStr">
        <is>
          <t>https://dcn8qexvg13r.feishu.cn/share/base/query/shrcnMqxwwRkV3NUIUxPeab3sec</t>
        </is>
      </c>
      <c r="F61" t="inlineStr">
        <is>
          <t>请添加微信：k846211</t>
        </is>
      </c>
      <c r="G61" t="inlineStr">
        <is>
          <t>2025-11-08</t>
        </is>
      </c>
    </row>
    <row r="62" ht="25.5" customHeight="1">
      <c r="A62" t="inlineStr">
        <is>
          <t>语法专项（英语人教3上）Unit1~6.pdf</t>
        </is>
      </c>
      <c r="B62" s="2" t="str">
        <f>=HYPERLINK("https://pan.quark.cn/s/47a41f12ca2e", "https://pan.quark.cn/s/47a41f12ca2e")</f>
        <v>https://pan.quark.cn/s/47a41f12ca2e</v>
      </c>
      <c r="C62" t="inlineStr">
        <is>
          <t>7.3M</t>
        </is>
      </c>
      <c r="D62" t="inlineStr">
        <is>
          <t>/英语语法/三年级上册/人教版/专项练习/K12/学龄儿童家长</t>
        </is>
      </c>
      <c r="E62" t="inlineStr">
        <is>
          <t>https://dcn8qexvg13r.feishu.cn/share/base/query/shrcnMqxwwRkV3NUIUxPeab3sec</t>
        </is>
      </c>
      <c r="F62" t="inlineStr">
        <is>
          <t>请添加微信：k846211</t>
        </is>
      </c>
      <c r="G62" t="inlineStr">
        <is>
          <t>2025-11-08</t>
        </is>
      </c>
    </row>
    <row r="63" ht="25.5" customHeight="1">
      <c r="A63" t="inlineStr">
        <is>
          <t>话术</t>
        </is>
      </c>
      <c r="B63" s="2" t="str">
        <f>=HYPERLINK("https://pan.quark.cn/s/70c2c424e451", "https://pan.quark.cn/s/70c2c424e451")</f>
        <v>https://pan.quark.cn/s/70c2c424e451</v>
      </c>
      <c r="C63" t="inlineStr">
        <is>
          <t>13.5K</t>
        </is>
      </c>
      <c r="D63" t="inlineStr">
        <is>
          <t>/沟通技巧/表达模板/资源类型-话术/核心价值-沟通/白领/管理者</t>
        </is>
      </c>
      <c r="E63" t="inlineStr">
        <is>
          <t>https://dcn8qexvg13r.feishu.cn/share/base/query/shrcnMqxwwRkV3NUIUxPeab3sec</t>
        </is>
      </c>
      <c r="F63" t="inlineStr">
        <is>
          <t>请添加微信：k846211</t>
        </is>
      </c>
      <c r="G63" t="inlineStr">
        <is>
          <t>2025-11-08</t>
        </is>
      </c>
    </row>
    <row r="64" ht="25.5" customHeight="1">
      <c r="A64" t="inlineStr">
        <is>
          <t>大学资料</t>
        </is>
      </c>
      <c r="B64" s="2" t="str">
        <f>=HYPERLINK("https://pan.quark.cn/s/99f046505483", "https://pan.quark.cn/s/99f046505483")</f>
        <v>https://pan.quark.cn/s/99f046505483</v>
      </c>
      <c r="C64" t="inlineStr">
        <is>
          <t>611.9G</t>
        </is>
      </c>
      <c r="D64" t="inlineStr">
        <is>
          <t>/大学/教育/学术/大学生</t>
        </is>
      </c>
      <c r="E64" t="inlineStr">
        <is>
          <t>https://dcn8qexvg13r.feishu.cn/share/base/query/shrcnMqxwwRkV3NUIUxPeab3sec</t>
        </is>
      </c>
      <c r="F64" t="inlineStr">
        <is>
          <t>请添加微信：k846211</t>
        </is>
      </c>
      <c r="G64" t="inlineStr">
        <is>
          <t>2025-11-08</t>
        </is>
      </c>
    </row>
    <row r="65" ht="25.5" customHeight="1">
      <c r="A65" t="inlineStr">
        <is>
          <t>高中资料</t>
        </is>
      </c>
      <c r="B65" s="2" t="str">
        <f>=HYPERLINK("https://pan.quark.cn/s/f919b4510f1d", "https://pan.quark.cn/s/f919b4510f1d")</f>
        <v>https://pan.quark.cn/s/f919b4510f1d</v>
      </c>
      <c r="C65" t="inlineStr">
        <is>
          <t>1.7</t>
        </is>
      </c>
      <c r="D65" t="inlineStr">
        <is>
          <t>/高中/学习/教育/K12/K12</t>
        </is>
      </c>
      <c r="E65" t="inlineStr">
        <is>
          <t>https://dcn8qexvg13r.feishu.cn/share/base/query/shrcnMqxwwRkV3NUIUxPeab3sec</t>
        </is>
      </c>
      <c r="F65" t="inlineStr">
        <is>
          <t>请添加微信：k846211</t>
        </is>
      </c>
      <c r="G65" t="inlineStr">
        <is>
          <t>2025-11-08</t>
        </is>
      </c>
    </row>
    <row r="66" ht="25.5" customHeight="1">
      <c r="A66" t="inlineStr">
        <is>
          <t>初中资料</t>
        </is>
      </c>
      <c r="B66" s="2" t="str">
        <f>=HYPERLINK("https://pan.quark.cn/s/f8c6f98e5e61", "https://pan.quark.cn/s/f8c6f98e5e61")</f>
        <v>https://pan.quark.cn/s/f8c6f98e5e61</v>
      </c>
      <c r="C66" t="inlineStr">
        <is>
          <t>750G</t>
        </is>
      </c>
      <c r="D66" t="inlineStr">
        <is>
          <t>/初中/学习辅导/学科知识/K12/学龄儿童家长</t>
        </is>
      </c>
      <c r="E66" t="inlineStr">
        <is>
          <t>https://dcn8qexvg13r.feishu.cn/share/base/query/shrcnMqxwwRkV3NUIUxPeab3sec</t>
        </is>
      </c>
      <c r="F66" t="inlineStr">
        <is>
          <t>请添加微信：k846211</t>
        </is>
      </c>
      <c r="G66" t="inlineStr">
        <is>
          <t>2025-11-08</t>
        </is>
      </c>
    </row>
    <row r="67" ht="25.5" customHeight="1">
      <c r="A67" t="inlineStr">
        <is>
          <t>小学资料</t>
        </is>
      </c>
      <c r="B67" s="2" t="str">
        <f>=HYPERLINK("https://pan.quark.cn/s/7a7cf7a5043b", "https://pan.quark.cn/s/7a7cf7a5043b")</f>
        <v>https://pan.quark.cn/s/7a7cf7a5043b</v>
      </c>
      <c r="C67" t="inlineStr">
        <is>
          <t>1.7</t>
        </is>
      </c>
      <c r="D67" t="inlineStr">
        <is>
          <t>/小学/学习/教育/K12/学龄儿童家长</t>
        </is>
      </c>
      <c r="E67" t="inlineStr">
        <is>
          <t>https://dcn8qexvg13r.feishu.cn/share/base/query/shrcnMqxwwRkV3NUIUxPeab3sec</t>
        </is>
      </c>
      <c r="F67" t="inlineStr">
        <is>
          <t>请添加微信：k846211</t>
        </is>
      </c>
      <c r="G67" t="inlineStr">
        <is>
          <t>2025-11-08</t>
        </is>
      </c>
    </row>
    <row r="68" ht="25.5" customHeight="1">
      <c r="A68" t="inlineStr">
        <is>
          <t>少儿教育</t>
        </is>
      </c>
      <c r="B68" s="2" t="str">
        <f>=HYPERLINK("https://pan.quark.cn/s/727473901143", "https://pan.quark.cn/s/727473901143")</f>
        <v>https://pan.quark.cn/s/727473901143</v>
      </c>
      <c r="C68" t="inlineStr">
        <is>
          <t>991.4G</t>
        </is>
      </c>
      <c r="D68" t="inlineStr">
        <is>
          <t>/少儿/教育/基础教育/启蒙教育/宝妈/家长群体/学龄儿童家长</t>
        </is>
      </c>
      <c r="E68" t="inlineStr">
        <is>
          <t>https://dcn8qexvg13r.feishu.cn/share/base/query/shrcnMqxwwRkV3NUIUxPeab3sec</t>
        </is>
      </c>
      <c r="F68" t="inlineStr">
        <is>
          <t>请添加微信：k846211</t>
        </is>
      </c>
      <c r="G68" t="inlineStr">
        <is>
          <t>2025-11-08</t>
        </is>
      </c>
    </row>
    <row r="69" ht="25.5" customHeight="1">
      <c r="A69" t="inlineStr">
        <is>
          <t>10174Power Up0-6级课件+书+音频+习题+答案</t>
        </is>
      </c>
      <c r="B69" s="2" t="str">
        <f>=HYPERLINK("https://pan.quark.cn/s/7dc218563365", "https://pan.quark.cn/s/7dc218563365")</f>
        <v>https://pan.quark.cn/s/7dc218563365</v>
      </c>
      <c r="C69" t="inlineStr">
        <is>
          <t>44G</t>
        </is>
      </c>
      <c r="D69" t="inlineStr">
        <is>
          <t>/Power Up/英语学习/0-6级/课件/习题/K12/学龄儿童家长</t>
        </is>
      </c>
      <c r="E69" t="inlineStr">
        <is>
          <t>https://dcn8qexvg13r.feishu.cn/share/base/query/shrcnMqxwwRkV3NUIUxPeab3sec</t>
        </is>
      </c>
      <c r="F69" t="inlineStr">
        <is>
          <t>请添加微信：k846211</t>
        </is>
      </c>
      <c r="G69" t="inlineStr">
        <is>
          <t>2025-11-08</t>
        </is>
      </c>
    </row>
    <row r="70" ht="25.5" customHeight="1">
      <c r="A70" t="inlineStr">
        <is>
          <t>10174Power Up原版L0-L5外教精讲课</t>
        </is>
      </c>
      <c r="B70" s="2" t="str">
        <f>=HYPERLINK("https://pan.quark.cn/s/a2bf3a8522a1", "https://pan.quark.cn/s/a2bf3a8522a1")</f>
        <v>https://pan.quark.cn/s/a2bf3a8522a1</v>
      </c>
      <c r="C70" t="inlineStr">
        <is>
          <t>41.9G</t>
        </is>
      </c>
      <c r="D70" t="inlineStr">
        <is>
          <t>/外教精讲/英语课程/L0-L5/语言/学龄儿童家长/宝妈/家长群体</t>
        </is>
      </c>
      <c r="E70" t="inlineStr">
        <is>
          <t>https://dcn8qexvg13r.feishu.cn/share/base/query/shrcnMqxwwRkV3NUIUxPeab3sec</t>
        </is>
      </c>
      <c r="F70" t="inlineStr">
        <is>
          <t>请添加微信：k846211</t>
        </is>
      </c>
      <c r="G70" t="inlineStr">
        <is>
          <t>2025-11-08</t>
        </is>
      </c>
    </row>
    <row r="71" ht="25.5" customHeight="1">
      <c r="A71" t="inlineStr">
        <is>
          <t>10069剑桥小学英语教材 Power Up 全7级</t>
        </is>
      </c>
      <c r="B71" s="2" t="str">
        <f>=HYPERLINK("https://pan.quark.cn/s/b7027d44e74a", "https://pan.quark.cn/s/b7027d44e74a")</f>
        <v>https://pan.quark.cn/s/b7027d44e74a</v>
      </c>
      <c r="C71" t="inlineStr">
        <is>
          <t>27.5G</t>
        </is>
      </c>
      <c r="D71" t="inlineStr">
        <is>
          <t>/剑桥小学英语/教材/Power Up/英语学习/K12/学龄儿童家长</t>
        </is>
      </c>
      <c r="E71" t="inlineStr">
        <is>
          <t>https://dcn8qexvg13r.feishu.cn/share/base/query/shrcnMqxwwRkV3NUIUxPeab3sec</t>
        </is>
      </c>
      <c r="F71" t="inlineStr">
        <is>
          <t>请添加微信：k846211</t>
        </is>
      </c>
      <c r="G71" t="inlineStr">
        <is>
          <t>2025-11-08</t>
        </is>
      </c>
    </row>
    <row r="72" ht="25.5" customHeight="1">
      <c r="A72" t="inlineStr">
        <is>
          <t>10069剑桥国际英语教程Interchange 5th</t>
        </is>
      </c>
      <c r="B72" s="2" t="str">
        <f>=HYPERLINK("https://pan.quark.cn/s/a54aef381d7b", "https://pan.quark.cn/s/a54aef381d7b")</f>
        <v>https://pan.quark.cn/s/a54aef381d7b</v>
      </c>
      <c r="C72" t="inlineStr">
        <is>
          <t>1.6G</t>
        </is>
      </c>
      <c r="D72" t="inlineStr">
        <is>
          <t>/剑桥国际英语教程/Interchange/5th/英语学习/语言</t>
        </is>
      </c>
      <c r="E72" t="inlineStr">
        <is>
          <t>https://dcn8qexvg13r.feishu.cn/share/base/query/shrcnMqxwwRkV3NUIUxPeab3sec</t>
        </is>
      </c>
      <c r="F72" t="inlineStr">
        <is>
          <t>请添加微信：k846211</t>
        </is>
      </c>
      <c r="G72" t="inlineStr">
        <is>
          <t>2025-11-08</t>
        </is>
      </c>
    </row>
    <row r="73" ht="25.5" customHeight="1">
      <c r="A73" t="inlineStr">
        <is>
          <t>Power Up教学课件资源</t>
        </is>
      </c>
      <c r="B73" s="2" t="str">
        <f>=HYPERLINK("https://pan.quark.cn/s/55a140a3745e", "https://pan.quark.cn/s/55a140a3745e")</f>
        <v>https://pan.quark.cn/s/55a140a3745e</v>
      </c>
      <c r="C73" t="inlineStr">
        <is>
          <t>13.4G</t>
        </is>
      </c>
      <c r="D73" t="inlineStr">
        <is>
          <t>/教学课件/Power Up/教育/学习/技能入门/K12/大学生</t>
        </is>
      </c>
      <c r="E73" t="inlineStr">
        <is>
          <t>https://dcn8qexvg13r.feishu.cn/share/base/query/shrcnMqxwwRkV3NUIUxPeab3sec</t>
        </is>
      </c>
      <c r="F73" t="inlineStr">
        <is>
          <t>请添加微信：k846211</t>
        </is>
      </c>
      <c r="G73" t="inlineStr">
        <is>
          <t>2025-11-08</t>
        </is>
      </c>
    </row>
    <row r="74" ht="25.5" customHeight="1">
      <c r="A74" t="inlineStr">
        <is>
          <t>二年级下册学习资料</t>
        </is>
      </c>
      <c r="B74" s="2" t="str">
        <f>=HYPERLINK("https://pan.quark.cn/s/44066ea9bb2c", "https://pan.quark.cn/s/44066ea9bb2c")</f>
        <v>https://pan.quark.cn/s/44066ea9bb2c</v>
      </c>
      <c r="C74" t="inlineStr">
        <is>
          <t>9.5G</t>
        </is>
      </c>
      <c r="D74" t="inlineStr">
        <is>
          <t>/二年级下册/学习/教学辅导/学龄儿童家长/K12</t>
        </is>
      </c>
      <c r="E74" t="inlineStr">
        <is>
          <t>https://dcn8qexvg13r.feishu.cn/share/base/query/shrcnMqxwwRkV3NUIUxPeab3sec</t>
        </is>
      </c>
      <c r="F74" t="inlineStr">
        <is>
          <t>请添加微信：k846211</t>
        </is>
      </c>
      <c r="G74" t="inlineStr">
        <is>
          <t>2025-11-08</t>
        </is>
      </c>
    </row>
    <row r="75" ht="25.5" customHeight="1">
      <c r="A75" t="inlineStr">
        <is>
          <t>二年级上册资料</t>
        </is>
      </c>
      <c r="B75" s="2" t="str">
        <f>=HYPERLINK("https://pan.quark.cn/s/27247c087741", "https://pan.quark.cn/s/27247c087741")</f>
        <v>https://pan.quark.cn/s/27247c087741</v>
      </c>
      <c r="C75" t="inlineStr">
        <is>
          <t>25.2G</t>
        </is>
      </c>
      <c r="D75" t="inlineStr">
        <is>
          <t>/二年级/上册/教材/学习/K12/学龄儿童家长</t>
        </is>
      </c>
      <c r="E75" t="inlineStr">
        <is>
          <t>https://dcn8qexvg13r.feishu.cn/share/base/query/shrcnMqxwwRkV3NUIUxPeab3sec</t>
        </is>
      </c>
      <c r="F75" t="inlineStr">
        <is>
          <t>请添加微信：k846211</t>
        </is>
      </c>
      <c r="G75" t="inlineStr">
        <is>
          <t>2025-11-08</t>
        </is>
      </c>
    </row>
    <row r="76" ht="25.5" customHeight="1">
      <c r="A76" t="inlineStr">
        <is>
          <t>三年级下册学习资料</t>
        </is>
      </c>
      <c r="B76" s="2" t="str">
        <f>=HYPERLINK("https://pan.quark.cn/s/1a59be1b3983", "https://pan.quark.cn/s/1a59be1b3983")</f>
        <v>https://pan.quark.cn/s/1a59be1b3983</v>
      </c>
      <c r="C76" t="inlineStr">
        <is>
          <t>13.2G</t>
        </is>
      </c>
      <c r="D76" t="inlineStr">
        <is>
          <t>/三年级下册/学习/学龄儿童家长/K12</t>
        </is>
      </c>
      <c r="E76" t="inlineStr">
        <is>
          <t>https://dcn8qexvg13r.feishu.cn/share/base/query/shrcnMqxwwRkV3NUIUxPeab3sec</t>
        </is>
      </c>
      <c r="F76" t="inlineStr">
        <is>
          <t>请添加微信：k846211</t>
        </is>
      </c>
      <c r="G76" t="inlineStr">
        <is>
          <t>2025-11-08</t>
        </is>
      </c>
    </row>
    <row r="77" ht="25.5" customHeight="1">
      <c r="A77" t="inlineStr">
        <is>
          <t>四年级下册学习资料</t>
        </is>
      </c>
      <c r="B77" s="2" t="str">
        <f>=HYPERLINK("https://pan.quark.cn/s/2339355ac4e3", "https://pan.quark.cn/s/2339355ac4e3")</f>
        <v>https://pan.quark.cn/s/2339355ac4e3</v>
      </c>
      <c r="C77" t="inlineStr">
        <is>
          <t>9G</t>
        </is>
      </c>
      <c r="D77" t="inlineStr">
        <is>
          <t>/四年级下册/学习/教材/K12/学龄儿童家长</t>
        </is>
      </c>
      <c r="E77" t="inlineStr">
        <is>
          <t>https://dcn8qexvg13r.feishu.cn/share/base/query/shrcnMqxwwRkV3NUIUxPeab3sec</t>
        </is>
      </c>
      <c r="F77" t="inlineStr">
        <is>
          <t>请添加微信：k846211</t>
        </is>
      </c>
      <c r="G77" t="inlineStr">
        <is>
          <t>2025-11-08</t>
        </is>
      </c>
    </row>
    <row r="78" ht="25.5" customHeight="1">
      <c r="A78" t="inlineStr">
        <is>
          <t>四年级上册资料</t>
        </is>
      </c>
      <c r="B78" s="2" t="str">
        <f>=HYPERLINK("https://pan.quark.cn/s/c995ea0d65e8", "https://pan.quark.cn/s/c995ea0d65e8")</f>
        <v>https://pan.quark.cn/s/c995ea0d65e8</v>
      </c>
      <c r="C78" t="inlineStr">
        <is>
          <t>22.7G</t>
        </is>
      </c>
      <c r="D78" t="inlineStr">
        <is>
          <t>/四年级/小学/学习辅导/K12/学龄儿童家长</t>
        </is>
      </c>
      <c r="E78" t="inlineStr">
        <is>
          <t>https://dcn8qexvg13r.feishu.cn/share/base/query/shrcnMqxwwRkV3NUIUxPeab3sec</t>
        </is>
      </c>
      <c r="F78" t="inlineStr">
        <is>
          <t>请添加微信：k846211</t>
        </is>
      </c>
      <c r="G78" t="inlineStr">
        <is>
          <t>2025-11-08</t>
        </is>
      </c>
    </row>
    <row r="79" ht="25.5" customHeight="1">
      <c r="A79" t="inlineStr">
        <is>
          <t>五年级下册学习资料</t>
        </is>
      </c>
      <c r="B79" s="2" t="str">
        <f>=HYPERLINK("https://pan.quark.cn/s/de484921388d", "https://pan.quark.cn/s/de484921388d")</f>
        <v>https://pan.quark.cn/s/de484921388d</v>
      </c>
      <c r="C79" t="inlineStr">
        <is>
          <t>8.1G</t>
        </is>
      </c>
      <c r="D79" t="inlineStr">
        <is>
          <t>/五年级下册/学习/教育/K12/学龄儿童家长</t>
        </is>
      </c>
      <c r="E79" t="inlineStr">
        <is>
          <t>https://dcn8qexvg13r.feishu.cn/share/base/query/shrcnMqxwwRkV3NUIUxPeab3sec</t>
        </is>
      </c>
      <c r="F79" t="inlineStr">
        <is>
          <t>请添加微信：k846211</t>
        </is>
      </c>
      <c r="G79" t="inlineStr">
        <is>
          <t>2025-11-08</t>
        </is>
      </c>
    </row>
    <row r="80" ht="25.5" customHeight="1">
      <c r="A80" t="inlineStr">
        <is>
          <t>五年级上册资料</t>
        </is>
      </c>
      <c r="B80" s="2" t="str">
        <f>=HYPERLINK("https://pan.quark.cn/s/fe9e5cbb8176", "https://pan.quark.cn/s/fe9e5cbb8176")</f>
        <v>https://pan.quark.cn/s/fe9e5cbb8176</v>
      </c>
      <c r="C80" t="inlineStr">
        <is>
          <t>18.2G</t>
        </is>
      </c>
      <c r="D80" t="inlineStr">
        <is>
          <t>/五年级/上册/K12/学龄儿童家长/K12/学龄儿童家长</t>
        </is>
      </c>
      <c r="E80" t="inlineStr">
        <is>
          <t>https://dcn8qexvg13r.feishu.cn/share/base/query/shrcnMqxwwRkV3NUIUxPeab3sec</t>
        </is>
      </c>
      <c r="F80" t="inlineStr">
        <is>
          <t>请添加微信：k846211</t>
        </is>
      </c>
      <c r="G80" t="inlineStr">
        <is>
          <t>2025-11-08</t>
        </is>
      </c>
    </row>
    <row r="81" ht="25.5" customHeight="1">
      <c r="A81" t="inlineStr">
        <is>
          <t>六年级下册学习资料</t>
        </is>
      </c>
      <c r="B81" s="2" t="str">
        <f>=HYPERLINK("https://pan.quark.cn/s/cd46d3bbc74f", "https://pan.quark.cn/s/cd46d3bbc74f")</f>
        <v>https://pan.quark.cn/s/cd46d3bbc74f</v>
      </c>
      <c r="C81" t="inlineStr">
        <is>
          <t>8G</t>
        </is>
      </c>
      <c r="D81" t="inlineStr">
        <is>
          <t>/六年级下册/学习/K12/学龄儿童家长</t>
        </is>
      </c>
      <c r="E81" t="inlineStr">
        <is>
          <t>https://dcn8qexvg13r.feishu.cn/share/base/query/shrcnMqxwwRkV3NUIUxPeab3sec</t>
        </is>
      </c>
      <c r="F81" t="inlineStr">
        <is>
          <t>请添加微信：k846211</t>
        </is>
      </c>
      <c r="G81" t="inlineStr">
        <is>
          <t>2025-11-08</t>
        </is>
      </c>
    </row>
    <row r="82" ht="25.5" customHeight="1">
      <c r="A82" t="inlineStr">
        <is>
          <t>六年级上册资料</t>
        </is>
      </c>
      <c r="B82" s="2" t="str">
        <f>=HYPERLINK("https://pan.quark.cn/s/d65b3ea5c050", "https://pan.quark.cn/s/d65b3ea5c050")</f>
        <v>https://pan.quark.cn/s/d65b3ea5c050</v>
      </c>
      <c r="C82" t="inlineStr">
        <is>
          <t>16.2G</t>
        </is>
      </c>
      <c r="D82" t="inlineStr">
        <is>
          <t>/六年级/上册/K12/学龄儿童家长</t>
        </is>
      </c>
      <c r="E82" t="inlineStr">
        <is>
          <t>https://dcn8qexvg13r.feishu.cn/share/base/query/shrcnMqxwwRkV3NUIUxPeab3sec</t>
        </is>
      </c>
      <c r="F82" t="inlineStr">
        <is>
          <t>请添加微信：k846211</t>
        </is>
      </c>
      <c r="G82" t="inlineStr">
        <is>
          <t>2025-11-08</t>
        </is>
      </c>
    </row>
    <row r="83" ht="25.5" customHeight="1">
      <c r="A83" t="inlineStr">
        <is>
          <t>一年级下册学习资料</t>
        </is>
      </c>
      <c r="B83" s="2" t="str">
        <f>=HYPERLINK("https://pan.quark.cn/s/ebefcf458002", "https://pan.quark.cn/s/ebefcf458002")</f>
        <v>https://pan.quark.cn/s/ebefcf458002</v>
      </c>
      <c r="C83" t="inlineStr">
        <is>
          <t>12.1G</t>
        </is>
      </c>
      <c r="D83" t="inlineStr">
        <is>
          <t>/一年级下册/学习/学龄儿童家长/K12</t>
        </is>
      </c>
      <c r="E83" t="inlineStr">
        <is>
          <t>https://dcn8qexvg13r.feishu.cn/share/base/query/shrcnMqxwwRkV3NUIUxPeab3sec</t>
        </is>
      </c>
      <c r="F83" t="inlineStr">
        <is>
          <t>请添加微信：k846211</t>
        </is>
      </c>
      <c r="G83" t="inlineStr">
        <is>
          <t>2025-11-08</t>
        </is>
      </c>
    </row>
    <row r="84" ht="25.5" customHeight="1">
      <c r="A84" t="inlineStr">
        <is>
          <t>一年级上册资料</t>
        </is>
      </c>
      <c r="B84" s="2" t="str">
        <f>=HYPERLINK("https://pan.quark.cn/s/c421287bb15a", "https://pan.quark.cn/s/c421287bb15a")</f>
        <v>https://pan.quark.cn/s/c421287bb15a</v>
      </c>
      <c r="C84" t="inlineStr">
        <is>
          <t>19.8G</t>
        </is>
      </c>
      <c r="D84" t="inlineStr">
        <is>
          <t>/一年级/上册/学习资源/K12/学龄儿童家长</t>
        </is>
      </c>
      <c r="E84" t="inlineStr">
        <is>
          <t>https://dcn8qexvg13r.feishu.cn/share/base/query/shrcnMqxwwRkV3NUIUxPeab3sec</t>
        </is>
      </c>
      <c r="F84" t="inlineStr">
        <is>
          <t>请添加微信：k846211</t>
        </is>
      </c>
      <c r="G84" t="inlineStr">
        <is>
          <t>2025-11-08</t>
        </is>
      </c>
    </row>
    <row r="85" ht="25.5" customHeight="1">
      <c r="A85" t="inlineStr">
        <is>
          <t>三年级上册资料</t>
        </is>
      </c>
      <c r="B85" s="2" t="str">
        <f>=HYPERLINK("https://pan.quark.cn/s/3f78de1ee58b", "https://pan.quark.cn/s/3f78de1ee58b")</f>
        <v>https://pan.quark.cn/s/3f78de1ee58b</v>
      </c>
      <c r="C85" t="inlineStr">
        <is>
          <t>27.3G</t>
        </is>
      </c>
      <c r="D85" t="inlineStr">
        <is>
          <t>/三年级/上册/小学/K12/学龄儿童家长</t>
        </is>
      </c>
      <c r="E85" t="inlineStr">
        <is>
          <t>https://dcn8qexvg13r.feishu.cn/share/base/query/shrcnMqxwwRkV3NUIUxPeab3sec</t>
        </is>
      </c>
      <c r="F85" t="inlineStr">
        <is>
          <t>请添加微信：k846211</t>
        </is>
      </c>
      <c r="G85" t="inlineStr">
        <is>
          <t>2025-11-08</t>
        </is>
      </c>
    </row>
    <row r="86" ht="25.5" customHeight="1">
      <c r="A86" t="inlineStr">
        <is>
          <t>1107 25新版六年级上册语文1-4单元《期中复习十六大考点合集》.pdf</t>
        </is>
      </c>
      <c r="B86" s="2" t="str">
        <f>=HYPERLINK("https://pan.quark.cn/s/30d5b89254f9", "https://pan.quark.cn/s/30d5b89254f9")</f>
        <v>https://pan.quark.cn/s/30d5b89254f9</v>
      </c>
      <c r="C86" t="inlineStr">
        <is>
          <t>17.3M</t>
        </is>
      </c>
      <c r="D86" t="inlineStr">
        <is>
          <t>/六年级上册语文/期中复习/考点/语文考点/K12/学龄儿童家长</t>
        </is>
      </c>
      <c r="E86" t="inlineStr">
        <is>
          <t>https://dcn8qexvg13r.feishu.cn/share/base/query/shrcnMqxwwRkV3NUIUxPeab3sec</t>
        </is>
      </c>
      <c r="F86" t="inlineStr">
        <is>
          <t>请添加微信：k846211</t>
        </is>
      </c>
      <c r="G86" t="inlineStr">
        <is>
          <t>2025-11-09</t>
        </is>
      </c>
    </row>
    <row r="87" ht="25.5" customHeight="1">
      <c r="A87" t="inlineStr">
        <is>
          <t>1107 五年级上册数学《小数乘除法错中求解专项》.pdf</t>
        </is>
      </c>
      <c r="B87" s="2" t="str">
        <f>=HYPERLINK("https://pan.quark.cn/s/bba329328cc2", "https://pan.quark.cn/s/bba329328cc2")</f>
        <v>https://pan.quark.cn/s/bba329328cc2</v>
      </c>
      <c r="C87" t="inlineStr">
        <is>
          <t>733.6K</t>
        </is>
      </c>
      <c r="D87" t="inlineStr">
        <is>
          <t>/五年级数学/小数乘除法/错中求解/专项练习/K12/学龄儿童家长</t>
        </is>
      </c>
      <c r="E87" t="inlineStr">
        <is>
          <t>https://dcn8qexvg13r.feishu.cn/share/base/query/shrcnMqxwwRkV3NUIUxPeab3sec</t>
        </is>
      </c>
      <c r="F87" t="inlineStr">
        <is>
          <t>请添加微信：k846211</t>
        </is>
      </c>
      <c r="G87" t="inlineStr">
        <is>
          <t>2025-11-09</t>
        </is>
      </c>
    </row>
    <row r="88" ht="25.5" customHeight="1">
      <c r="A88" t="inlineStr">
        <is>
          <t>1107 四年级上册语文《期中复习按课文内容填空小测》（空白版）8页.pdf</t>
        </is>
      </c>
      <c r="B88" s="2" t="str">
        <f>=HYPERLINK("https://pan.quark.cn/s/24c9d0377417", "https://pan.quark.cn/s/24c9d0377417")</f>
        <v>https://pan.quark.cn/s/24c9d0377417</v>
      </c>
      <c r="C88" t="inlineStr">
        <is>
          <t>9.8M</t>
        </is>
      </c>
      <c r="D88" t="inlineStr">
        <is>
          <t>/四年级语文/期中复习/按课文内容填空/小测/K12/学龄儿童家长</t>
        </is>
      </c>
      <c r="E88" t="inlineStr">
        <is>
          <t>https://dcn8qexvg13r.feishu.cn/share/base/query/shrcnMqxwwRkV3NUIUxPeab3sec</t>
        </is>
      </c>
      <c r="F88" t="inlineStr">
        <is>
          <t>请添加微信：k846211</t>
        </is>
      </c>
      <c r="G88" t="inlineStr">
        <is>
          <t>2025-11-09</t>
        </is>
      </c>
    </row>
    <row r="89" ht="25.5" customHeight="1">
      <c r="A89" t="inlineStr">
        <is>
          <t>1107 四年级上册语文《期中复习按课文内容填空小测》（答案版）8页.pdf</t>
        </is>
      </c>
      <c r="B89" s="2" t="str">
        <f>=HYPERLINK("https://pan.quark.cn/s/53fea9e6a5de", "https://pan.quark.cn/s/53fea9e6a5de")</f>
        <v>https://pan.quark.cn/s/53fea9e6a5de</v>
      </c>
      <c r="C89" t="inlineStr">
        <is>
          <t>4.6M</t>
        </is>
      </c>
      <c r="D89" t="inlineStr">
        <is>
          <t>/四年级语文/期中复习/按课文内容填空/小测/答案/K12/学龄儿童家长</t>
        </is>
      </c>
      <c r="E89" t="inlineStr">
        <is>
          <t>https://dcn8qexvg13r.feishu.cn/share/base/query/shrcnMqxwwRkV3NUIUxPeab3sec</t>
        </is>
      </c>
      <c r="F89" t="inlineStr">
        <is>
          <t>请添加微信：k846211</t>
        </is>
      </c>
      <c r="G89" t="inlineStr">
        <is>
          <t>2025-11-09</t>
        </is>
      </c>
    </row>
    <row r="90" ht="25.5" customHeight="1">
      <c r="A90" t="inlineStr">
        <is>
          <t>1106 25秋五年级上册语文《期中复习读拼音写字词闯关练》（考查1-4单元）.pdf</t>
        </is>
      </c>
      <c r="B90" s="2" t="str">
        <f>=HYPERLINK("https://pan.quark.cn/s/4adbc980bfab", "https://pan.quark.cn/s/4adbc980bfab")</f>
        <v>https://pan.quark.cn/s/4adbc980bfab</v>
      </c>
      <c r="C90" t="inlineStr">
        <is>
          <t>4.4M</t>
        </is>
      </c>
      <c r="D90" t="inlineStr">
        <is>
          <t>/五年级语文/期中复习/读拼音写字词/闯关练/K12/学龄儿童家长</t>
        </is>
      </c>
      <c r="E90" t="inlineStr">
        <is>
          <t>https://dcn8qexvg13r.feishu.cn/share/base/query/shrcnMqxwwRkV3NUIUxPeab3sec</t>
        </is>
      </c>
      <c r="F90" t="inlineStr">
        <is>
          <t>请添加微信：k846211</t>
        </is>
      </c>
      <c r="G90" t="inlineStr">
        <is>
          <t>2025-11-09</t>
        </is>
      </c>
    </row>
    <row r="91" ht="25.5" customHeight="1">
      <c r="A91" t="inlineStr">
        <is>
          <t>1106 六年级上册数学《期中考试必考7大类应用题》.pdf</t>
        </is>
      </c>
      <c r="B91" s="2" t="str">
        <f>=HYPERLINK("https://pan.quark.cn/s/74d751697b6c", "https://pan.quark.cn/s/74d751697b6c")</f>
        <v>https://pan.quark.cn/s/74d751697b6c</v>
      </c>
      <c r="C91" t="inlineStr">
        <is>
          <t>2.8M</t>
        </is>
      </c>
      <c r="D91" t="inlineStr">
        <is>
          <t>/六年级数学/期中考试/应用题/数学辅导/K12/学龄儿童家长</t>
        </is>
      </c>
      <c r="E91" t="inlineStr">
        <is>
          <t>https://dcn8qexvg13r.feishu.cn/share/base/query/shrcnMqxwwRkV3NUIUxPeab3sec</t>
        </is>
      </c>
      <c r="F91" t="inlineStr">
        <is>
          <t>请添加微信：k846211</t>
        </is>
      </c>
      <c r="G91" t="inlineStr">
        <is>
          <t>2025-11-09</t>
        </is>
      </c>
    </row>
    <row r="92" ht="25.5" customHeight="1">
      <c r="A92" t="inlineStr">
        <is>
          <t>1106 四年级上册语文《期中总复习重点必练》（古诗、名言、课文积累综合练习）含答案18页.pdf</t>
        </is>
      </c>
      <c r="B92" s="2" t="str">
        <f>=HYPERLINK("https://pan.quark.cn/s/5cacda10685e", "https://pan.quark.cn/s/5cacda10685e")</f>
        <v>https://pan.quark.cn/s/5cacda10685e</v>
      </c>
      <c r="C92" t="inlineStr">
        <is>
          <t>7.5M</t>
        </is>
      </c>
      <c r="D92" t="inlineStr">
        <is>
          <t>/四年级语文/期中复习/古诗名言/课文积累/练习含答案/K12/学龄儿童家长</t>
        </is>
      </c>
      <c r="E92" t="inlineStr">
        <is>
          <t>https://dcn8qexvg13r.feishu.cn/share/base/query/shrcnMqxwwRkV3NUIUxPeab3sec</t>
        </is>
      </c>
      <c r="F92" t="inlineStr">
        <is>
          <t>请添加微信：k846211</t>
        </is>
      </c>
      <c r="G92" t="inlineStr">
        <is>
          <t>2025-11-09</t>
        </is>
      </c>
    </row>
    <row r="93" ht="25.5" customHeight="1">
      <c r="A93" t="inlineStr">
        <is>
          <t>1105新一上语文期中生字词专项练习（1-4单元给汉字注音+看拼音写词语）8页.pdf</t>
        </is>
      </c>
      <c r="B93" s="2" t="str">
        <f>=HYPERLINK("https://pan.quark.cn/s/d19349fdb649", "https://pan.quark.cn/s/d19349fdb649")</f>
        <v>https://pan.quark.cn/s/d19349fdb649</v>
      </c>
      <c r="C93" t="inlineStr">
        <is>
          <t>2.6M</t>
        </is>
      </c>
      <c r="D93" t="inlineStr">
        <is>
          <t>/语文/生字词/专项练习/注音/看拼音写词语/K12/学龄儿童家长</t>
        </is>
      </c>
      <c r="E93" t="inlineStr">
        <is>
          <t>https://dcn8qexvg13r.feishu.cn/share/base/query/shrcnMqxwwRkV3NUIUxPeab3sec</t>
        </is>
      </c>
      <c r="F93" t="inlineStr">
        <is>
          <t>请添加微信：k846211</t>
        </is>
      </c>
      <c r="G93" t="inlineStr">
        <is>
          <t>2025-11-09</t>
        </is>
      </c>
    </row>
    <row r="94" ht="25.5" customHeight="1">
      <c r="A94" t="inlineStr">
        <is>
          <t>1105三上语文快乐读书吧考点提升专练五套（安徒生童话、格林童话、稻草人）含答案21页.pdf</t>
        </is>
      </c>
      <c r="B94" s="2" t="str">
        <f>=HYPERLINK("https://pan.quark.cn/s/4e7f8c695e7e", "https://pan.quark.cn/s/4e7f8c695e7e")</f>
        <v>https://pan.quark.cn/s/4e7f8c695e7e</v>
      </c>
      <c r="C94" t="inlineStr">
        <is>
          <t>9.1M</t>
        </is>
      </c>
      <c r="D94" t="inlineStr">
        <is>
          <t>/三年级语文/快乐读书吧/考点提升/安徒生童话/格林童话/稻草人/K12/学龄儿童家长</t>
        </is>
      </c>
      <c r="E94" t="inlineStr">
        <is>
          <t>https://dcn8qexvg13r.feishu.cn/share/base/query/shrcnMqxwwRkV3NUIUxPeab3sec</t>
        </is>
      </c>
      <c r="F94" t="inlineStr">
        <is>
          <t>请添加微信：k846211</t>
        </is>
      </c>
      <c r="G94" t="inlineStr">
        <is>
          <t>2025-11-09</t>
        </is>
      </c>
    </row>
    <row r="95" ht="25.5" customHeight="1">
      <c r="A95" t="inlineStr">
        <is>
          <t>1105 新六年级上册数学《重难点比11大重点题型》.pdf</t>
        </is>
      </c>
      <c r="B95" s="2" t="str">
        <f>=HYPERLINK("https://pan.quark.cn/s/344ec60e65c8", "https://pan.quark.cn/s/344ec60e65c8")</f>
        <v>https://pan.quark.cn/s/344ec60e65c8</v>
      </c>
      <c r="C95" t="inlineStr">
        <is>
          <t>2.4M</t>
        </is>
      </c>
      <c r="D95" t="inlineStr">
        <is>
          <t>/六年级数学/上册/重点题型/重难点/K12/学龄儿童家长</t>
        </is>
      </c>
      <c r="E95" t="inlineStr">
        <is>
          <t>https://dcn8qexvg13r.feishu.cn/share/base/query/shrcnMqxwwRkV3NUIUxPeab3sec</t>
        </is>
      </c>
      <c r="F95" t="inlineStr">
        <is>
          <t>请添加微信：k846211</t>
        </is>
      </c>
      <c r="G95" t="inlineStr">
        <is>
          <t>2025-11-09</t>
        </is>
      </c>
    </row>
    <row r="96" ht="25.5" customHeight="1">
      <c r="A96" t="inlineStr">
        <is>
          <t>1105 新四年级上册数学《期中复习每日冲刺小纸条19天》（高频易错选择题）含答案15页.pdf</t>
        </is>
      </c>
      <c r="B96" s="2" t="str">
        <f>=HYPERLINK("https://pan.quark.cn/s/78420e263926", "https://pan.quark.cn/s/78420e263926")</f>
        <v>https://pan.quark.cn/s/78420e263926</v>
      </c>
      <c r="C96" t="inlineStr">
        <is>
          <t>3.3M</t>
        </is>
      </c>
      <c r="D96" t="inlineStr">
        <is>
          <t>/新四年级数学/期中复习/高频易错选择题/每日冲刺小纸条/K12/学龄儿童家长</t>
        </is>
      </c>
      <c r="E96" t="inlineStr">
        <is>
          <t>https://dcn8qexvg13r.feishu.cn/share/base/query/shrcnMqxwwRkV3NUIUxPeab3sec</t>
        </is>
      </c>
      <c r="F96" t="inlineStr">
        <is>
          <t>请添加微信：k846211</t>
        </is>
      </c>
      <c r="G96" t="inlineStr">
        <is>
          <t>2025-11-09</t>
        </is>
      </c>
    </row>
    <row r="97" ht="25.5" customHeight="1">
      <c r="A97" t="inlineStr">
        <is>
          <t>1105 25秋五年级上册语文《期中复习1-4单元课文梳理》（含答案）.pdf</t>
        </is>
      </c>
      <c r="B97" s="2" t="str">
        <f>=HYPERLINK("https://pan.quark.cn/s/526630006623", "https://pan.quark.cn/s/526630006623")</f>
        <v>https://pan.quark.cn/s/526630006623</v>
      </c>
      <c r="C97" t="inlineStr">
        <is>
          <t>541.5K</t>
        </is>
      </c>
      <c r="D97" t="inlineStr">
        <is>
          <t>/五年级语文/期中复习/课文梳理/含答案/K12/学龄儿童家长</t>
        </is>
      </c>
      <c r="E97" t="inlineStr">
        <is>
          <t>https://dcn8qexvg13r.feishu.cn/share/base/query/shrcnMqxwwRkV3NUIUxPeab3sec</t>
        </is>
      </c>
      <c r="F97" t="inlineStr">
        <is>
          <t>请添加微信：k846211</t>
        </is>
      </c>
      <c r="G97" t="inlineStr">
        <is>
          <t>2025-11-09</t>
        </is>
      </c>
    </row>
    <row r="98" ht="25.5" customHeight="1">
      <c r="A98" t="inlineStr">
        <is>
          <t>25秋一上语文1-8单元语文园地提优练习（含答案11页）.pdf</t>
        </is>
      </c>
      <c r="B98" s="2" t="str">
        <f>=HYPERLINK("https://pan.quark.cn/s/a669a6f53766", "https://pan.quark.cn/s/a669a6f53766")</f>
        <v>https://pan.quark.cn/s/a669a6f53766</v>
      </c>
      <c r="C98" t="inlineStr">
        <is>
          <t>10.8M</t>
        </is>
      </c>
      <c r="D98" t="inlineStr">
        <is>
          <t>25秋一上语文/语文园地/提优练习/含答案/K12/学龄儿童家长</t>
        </is>
      </c>
      <c r="E98" t="inlineStr">
        <is>
          <t>https://dcn8qexvg13r.feishu.cn/share/base/query/shrcnMqxwwRkV3NUIUxPeab3sec</t>
        </is>
      </c>
      <c r="F98" t="inlineStr">
        <is>
          <t>请添加微信：k846211</t>
        </is>
      </c>
      <c r="G98" t="inlineStr">
        <is>
          <t>2025-11-09</t>
        </is>
      </c>
    </row>
    <row r="99" ht="25.5" customHeight="1">
      <c r="A99" t="inlineStr">
        <is>
          <t>25秋新二上语文1-8单元语文园地提升练习.pdf</t>
        </is>
      </c>
      <c r="B99" s="2" t="str">
        <f>=HYPERLINK("https://pan.quark.cn/s/8eee96111bb8", "https://pan.quark.cn/s/8eee96111bb8")</f>
        <v>https://pan.quark.cn/s/8eee96111bb8</v>
      </c>
      <c r="C99" t="inlineStr">
        <is>
          <t>11.5M</t>
        </is>
      </c>
      <c r="D99" t="inlineStr">
        <is>
          <t>/25秋/新二上语文/语文园地/提升练习/K12/学龄儿童家长</t>
        </is>
      </c>
      <c r="E99" t="inlineStr">
        <is>
          <t>https://dcn8qexvg13r.feishu.cn/share/base/query/shrcnMqxwwRkV3NUIUxPeab3sec</t>
        </is>
      </c>
      <c r="F99" t="inlineStr">
        <is>
          <t>请添加微信：k846211</t>
        </is>
      </c>
      <c r="G99" t="inlineStr">
        <is>
          <t>2025-11-09</t>
        </is>
      </c>
    </row>
    <row r="100" ht="25.5" customHeight="1">
      <c r="A100" t="inlineStr">
        <is>
          <t>🍎二上期中高频考点.pdf</t>
        </is>
      </c>
      <c r="B100" s="2" t="str">
        <f>=HYPERLINK("https://pan.quark.cn/s/d83a6cd91872", "https://pan.quark.cn/s/d83a6cd91872")</f>
        <v>https://pan.quark.cn/s/d83a6cd91872</v>
      </c>
      <c r="C100" t="inlineStr">
        <is>
          <t>489.3K</t>
        </is>
      </c>
      <c r="D100" t="inlineStr">
        <is>
          <t>/二年级上册/期中/高频考点/数学/语文/K12/学龄儿童家长</t>
        </is>
      </c>
      <c r="E100" t="inlineStr">
        <is>
          <t>https://dcn8qexvg13r.feishu.cn/share/base/query/shrcnMqxwwRkV3NUIUxPeab3sec</t>
        </is>
      </c>
      <c r="F100" t="inlineStr">
        <is>
          <t>请添加微信：k846211</t>
        </is>
      </c>
      <c r="G100" t="inlineStr">
        <is>
          <t>2025-11-09</t>
        </is>
      </c>
    </row>
    <row r="101" ht="25.5" customHeight="1">
      <c r="A101" t="inlineStr">
        <is>
          <t>🍎六上期中高频考点.pdf</t>
        </is>
      </c>
      <c r="B101" s="2" t="str">
        <f>=HYPERLINK("https://pan.quark.cn/s/8e8513746a16", "https://pan.quark.cn/s/8e8513746a16")</f>
        <v>https://pan.quark.cn/s/8e8513746a16</v>
      </c>
      <c r="C101" t="inlineStr">
        <is>
          <t>664.4K</t>
        </is>
      </c>
      <c r="D101" t="inlineStr">
        <is>
          <t>/六年级上册/期中/高频考点/复习资料/K12/学龄儿童家长</t>
        </is>
      </c>
      <c r="E101" t="inlineStr">
        <is>
          <t>https://dcn8qexvg13r.feishu.cn/share/base/query/shrcnMqxwwRkV3NUIUxPeab3sec</t>
        </is>
      </c>
      <c r="F101" t="inlineStr">
        <is>
          <t>请添加微信：k846211</t>
        </is>
      </c>
      <c r="G101" t="inlineStr">
        <is>
          <t>2025-11-09</t>
        </is>
      </c>
    </row>
    <row r="102" ht="25.5" customHeight="1">
      <c r="A102" t="inlineStr">
        <is>
          <t>🍎三上期中高频考点.pdf</t>
        </is>
      </c>
      <c r="B102" s="2" t="str">
        <f>=HYPERLINK("https://pan.quark.cn/s/0e81d1103134", "https://pan.quark.cn/s/0e81d1103134")</f>
        <v>https://pan.quark.cn/s/0e81d1103134</v>
      </c>
      <c r="C102" t="inlineStr">
        <is>
          <t>11.4M</t>
        </is>
      </c>
      <c r="D102" t="inlineStr">
        <is>
          <t>/三上期中/高频考点/小学三年级/数学/语文/K12/学龄儿童家长</t>
        </is>
      </c>
      <c r="E102" t="inlineStr">
        <is>
          <t>https://dcn8qexvg13r.feishu.cn/share/base/query/shrcnMqxwwRkV3NUIUxPeab3sec</t>
        </is>
      </c>
      <c r="F102" t="inlineStr">
        <is>
          <t>请添加微信：k846211</t>
        </is>
      </c>
      <c r="G102" t="inlineStr">
        <is>
          <t>2025-11-09</t>
        </is>
      </c>
    </row>
    <row r="103" ht="25.5" customHeight="1">
      <c r="A103" t="inlineStr">
        <is>
          <t>🍎四上期中高频考点.pdf</t>
        </is>
      </c>
      <c r="B103" s="2" t="str">
        <f>=HYPERLINK("https://pan.quark.cn/s/db87418dcbcd", "https://pan.quark.cn/s/db87418dcbcd")</f>
        <v>https://pan.quark.cn/s/db87418dcbcd</v>
      </c>
      <c r="C103" t="inlineStr">
        <is>
          <t>6.5M</t>
        </is>
      </c>
      <c r="D103" t="inlineStr">
        <is>
          <t>/四年级上册/期中/高频考点/数学/语文/K12/学龄儿童家长</t>
        </is>
      </c>
      <c r="E103" t="inlineStr">
        <is>
          <t>https://dcn8qexvg13r.feishu.cn/share/base/query/shrcnMqxwwRkV3NUIUxPeab3sec</t>
        </is>
      </c>
      <c r="F103" t="inlineStr">
        <is>
          <t>请添加微信：k846211</t>
        </is>
      </c>
      <c r="G103" t="inlineStr">
        <is>
          <t>2025-11-09</t>
        </is>
      </c>
    </row>
    <row r="104" ht="25.5" customHeight="1">
      <c r="A104" t="inlineStr">
        <is>
          <t>🍎五上期中高频考点.pdf</t>
        </is>
      </c>
      <c r="B104" s="2" t="str">
        <f>=HYPERLINK("https://pan.quark.cn/s/4dc03c1d906c", "https://pan.quark.cn/s/4dc03c1d906c")</f>
        <v>https://pan.quark.cn/s/4dc03c1d906c</v>
      </c>
      <c r="C104" t="inlineStr">
        <is>
          <t>10.2M</t>
        </is>
      </c>
      <c r="D104" t="inlineStr">
        <is>
          <t>/五年级上册/期中/高频考点/数学/语文/K12/学龄儿童家长</t>
        </is>
      </c>
      <c r="E104" t="inlineStr">
        <is>
          <t>https://dcn8qexvg13r.feishu.cn/share/base/query/shrcnMqxwwRkV3NUIUxPeab3sec</t>
        </is>
      </c>
      <c r="F104" t="inlineStr">
        <is>
          <t>请添加微信：k846211</t>
        </is>
      </c>
      <c r="G104" t="inlineStr">
        <is>
          <t>2025-11-09</t>
        </is>
      </c>
    </row>
    <row r="105" ht="25.5" customHeight="1">
      <c r="A105" t="inlineStr">
        <is>
          <t>🍎一上期中高频考点.pdf</t>
        </is>
      </c>
      <c r="B105" s="2" t="str">
        <f>=HYPERLINK("https://pan.quark.cn/s/edf401c0259a", "https://pan.quark.cn/s/edf401c0259a")</f>
        <v>https://pan.quark.cn/s/edf401c0259a</v>
      </c>
      <c r="C105" t="inlineStr">
        <is>
          <t>4.3M</t>
        </is>
      </c>
      <c r="D105" t="inlineStr">
        <is>
          <t>/一年级上册/期中/高频考点/数学/语文/K12/学龄儿童家长</t>
        </is>
      </c>
      <c r="E105" t="inlineStr">
        <is>
          <t>https://dcn8qexvg13r.feishu.cn/share/base/query/shrcnMqxwwRkV3NUIUxPeab3sec</t>
        </is>
      </c>
      <c r="F105" t="inlineStr">
        <is>
          <t>请添加微信：k846211</t>
        </is>
      </c>
      <c r="G105" t="inlineStr">
        <is>
          <t>2025-11-09</t>
        </is>
      </c>
    </row>
    <row r="106" ht="25.5" customHeight="1">
      <c r="A106" t="inlineStr">
        <is>
          <t>初高中自学及同步习题</t>
        </is>
      </c>
      <c r="B106" s="2" t="str">
        <f>=HYPERLINK("https://pan.quark.cn/s/3aaca17f772c", "https://pan.quark.cn/s/3aaca17f772c")</f>
        <v>https://pan.quark.cn/s/3aaca17f772c</v>
      </c>
      <c r="C106" t="inlineStr">
        <is>
          <t>537.8G</t>
        </is>
      </c>
      <c r="D106" t="inlineStr">
        <is>
          <t>/初高中/自学/同步习题/学习辅助/K12/学龄儿童家长</t>
        </is>
      </c>
      <c r="E106" t="inlineStr">
        <is>
          <t>https://dcn8qexvg13r.feishu.cn/share/base/query/shrcnMqxwwRkV3NUIUxPeab3sec</t>
        </is>
      </c>
      <c r="F106" t="inlineStr">
        <is>
          <t>请添加微信：k846211</t>
        </is>
      </c>
      <c r="G106" t="inlineStr">
        <is>
          <t>2025-11-09</t>
        </is>
      </c>
    </row>
    <row r="107" ht="25.5" customHeight="1">
      <c r="A107" t="inlineStr">
        <is>
          <t>高一到高考试卷题库</t>
        </is>
      </c>
      <c r="B107" s="2" t="str">
        <f>=HYPERLINK("https://pan.quark.cn/s/709517808b1e", "https://pan.quark.cn/s/709517808b1e")</f>
        <v>https://pan.quark.cn/s/709517808b1e</v>
      </c>
      <c r="C107" t="inlineStr">
        <is>
          <t>354.5G</t>
        </is>
      </c>
      <c r="D107" t="inlineStr">
        <is>
          <t>/高中/考试/试卷/题库/K12/学龄儿童家长</t>
        </is>
      </c>
      <c r="E107" t="inlineStr">
        <is>
          <t>https://dcn8qexvg13r.feishu.cn/share/base/query/shrcnMqxwwRkV3NUIUxPeab3sec</t>
        </is>
      </c>
      <c r="F107" t="inlineStr">
        <is>
          <t>请添加微信：k846211</t>
        </is>
      </c>
      <c r="G107" t="inlineStr">
        <is>
          <t>2025-11-09</t>
        </is>
      </c>
    </row>
    <row r="108" ht="25.5" customHeight="1">
      <c r="A108" t="inlineStr">
        <is>
          <t>小初高每天更新</t>
        </is>
      </c>
      <c r="B108" s="2" t="str">
        <f>=HYPERLINK("https://pan.quark.cn/s/121195a64e0e", "https://pan.quark.cn/s/121195a64e0e")</f>
        <v>https://pan.quark.cn/s/121195a64e0e</v>
      </c>
      <c r="C108" t="inlineStr">
        <is>
          <t>177.7G</t>
        </is>
      </c>
      <c r="D108" t="inlineStr">
        <is>
          <t>/小初高/每日更新/教育内容/K12/学龄儿童家长</t>
        </is>
      </c>
      <c r="E108" t="inlineStr">
        <is>
          <t>https://dcn8qexvg13r.feishu.cn/share/base/query/shrcnMqxwwRkV3NUIUxPeab3sec</t>
        </is>
      </c>
      <c r="F108" t="inlineStr">
        <is>
          <t>请添加微信：k846211</t>
        </is>
      </c>
      <c r="G108" t="inlineStr">
        <is>
          <t>2025-11-09</t>
        </is>
      </c>
    </row>
    <row r="109" ht="25.5" customHeight="1">
      <c r="A109" t="inlineStr">
        <is>
          <t>小初高系列</t>
        </is>
      </c>
      <c r="B109" s="2" t="str">
        <f>=HYPERLINK("https://pan.quark.cn/s/ac0d6998ab17", "https://pan.quark.cn/s/ac0d6998ab17")</f>
        <v>https://pan.quark.cn/s/ac0d6998ab17</v>
      </c>
      <c r="C109" t="inlineStr">
        <is>
          <t>139.9G</t>
        </is>
      </c>
      <c r="D109" t="inlineStr">
        <is>
          <t>/小初高/教育/学习/K12/学龄儿童家长</t>
        </is>
      </c>
      <c r="E109" t="inlineStr">
        <is>
          <t>https://dcn8qexvg13r.feishu.cn/share/base/query/shrcnMqxwwRkV3NUIUxPeab3sec</t>
        </is>
      </c>
      <c r="F109" t="inlineStr">
        <is>
          <t>请添加微信：k846211</t>
        </is>
      </c>
      <c r="G109" t="inlineStr">
        <is>
          <t>2025-11-09</t>
        </is>
      </c>
    </row>
    <row r="110" ht="25.5" customHeight="1">
      <c r="A110" t="inlineStr">
        <is>
          <t>004四季养生食疗课</t>
        </is>
      </c>
      <c r="B110" s="2" t="str">
        <f>=HYPERLINK("https://pan.quark.cn/s/c3745bc3425e", "https://pan.quark.cn/s/c3745bc3425e")</f>
        <v>https://pan.quark.cn/s/c3745bc3425e</v>
      </c>
      <c r="C110" t="inlineStr">
        <is>
          <t>88.4M</t>
        </is>
      </c>
      <c r="D110" t="inlineStr">
        <is>
          <t>/四季养生/食疗/养生课程/健康饮食/宝妈/家长群体/其他</t>
        </is>
      </c>
      <c r="E110" t="inlineStr">
        <is>
          <t>https://dcn8qexvg13r.feishu.cn/share/base/query/shrcnMqxwwRkV3NUIUxPeab3sec</t>
        </is>
      </c>
      <c r="F110" t="inlineStr">
        <is>
          <t>请添加微信：k846211</t>
        </is>
      </c>
      <c r="G110" t="inlineStr">
        <is>
          <t>2025-11-09</t>
        </is>
      </c>
    </row>
    <row r="111" ht="25.5" customHeight="1">
      <c r="A111" t="inlineStr">
        <is>
          <t>003阿嘟白泽《这是什么·超有趣的儿童科学启蒙》</t>
        </is>
      </c>
      <c r="B111" s="2" t="str">
        <f>=HYPERLINK("https://pan.quark.cn/s/7cbe283a84ef", "https://pan.quark.cn/s/7cbe283a84ef")</f>
        <v>https://pan.quark.cn/s/7cbe283a84ef</v>
      </c>
      <c r="C111" t="inlineStr">
        <is>
          <t>23.6G</t>
        </is>
      </c>
      <c r="D111" t="inlineStr">
        <is>
          <t>/儿童科学/科学启蒙/阿嘟白泽/宝妈/家长群体/学龄儿童家长</t>
        </is>
      </c>
      <c r="E111" t="inlineStr">
        <is>
          <t>https://dcn8qexvg13r.feishu.cn/share/base/query/shrcnMqxwwRkV3NUIUxPeab3sec</t>
        </is>
      </c>
      <c r="F111" t="inlineStr">
        <is>
          <t>请添加微信：k846211</t>
        </is>
      </c>
      <c r="G111" t="inlineStr">
        <is>
          <t>2025-11-09</t>
        </is>
      </c>
    </row>
    <row r="112" ht="25.5" customHeight="1">
      <c r="A112" t="inlineStr">
        <is>
          <t>002副业赚钱</t>
        </is>
      </c>
      <c r="B112" s="2" t="str">
        <f>=HYPERLINK("https://pan.quark.cn/s/b5aebe95f2f6", "https://pan.quark.cn/s/b5aebe95f2f6")</f>
        <v>https://pan.quark.cn/s/b5aebe95f2f6</v>
      </c>
      <c r="C112" t="inlineStr">
        <is>
          <t>4G</t>
        </is>
      </c>
      <c r="D112" t="inlineStr">
        <is>
          <t>/副业/赚钱/额外收入/白领/宝妈/家长群体</t>
        </is>
      </c>
      <c r="E112" t="inlineStr">
        <is>
          <t>https://dcn8qexvg13r.feishu.cn/share/base/query/shrcnMqxwwRkV3NUIUxPeab3sec</t>
        </is>
      </c>
      <c r="F112" t="inlineStr">
        <is>
          <t>请添加微信：k846211</t>
        </is>
      </c>
      <c r="G112" t="inlineStr">
        <is>
          <t>2025-11-09</t>
        </is>
      </c>
    </row>
    <row r="113" ht="25.5" customHeight="1">
      <c r="A113" t="inlineStr">
        <is>
          <t>001书籍</t>
        </is>
      </c>
      <c r="B113" s="2" t="str">
        <f>=HYPERLINK("https://pan.quark.cn/s/98e25454ae50", "https://pan.quark.cn/s/98e25454ae50")</f>
        <v>https://pan.quark.cn/s/98e25454ae50</v>
      </c>
      <c r="C113" t="inlineStr">
        <is>
          <t>29.7G</t>
        </is>
      </c>
      <c r="D113" t="inlineStr">
        <is>
          <t>/书籍/其他</t>
        </is>
      </c>
      <c r="E113" t="inlineStr">
        <is>
          <t>https://dcn8qexvg13r.feishu.cn/share/base/query/shrcnMqxwwRkV3NUIUxPeab3sec</t>
        </is>
      </c>
      <c r="F113" t="inlineStr">
        <is>
          <t>请添加微信：k846211</t>
        </is>
      </c>
      <c r="G113" t="inlineStr">
        <is>
          <t>2025-11-09</t>
        </is>
      </c>
    </row>
    <row r="114" ht="25.5" customHeight="1">
      <c r="A114" t="inlineStr">
        <is>
          <t>AI生成视频整合包合集(注：整合包文件夹不要有任何中文路径，否则可能会运行失败，可都改为英文路径)</t>
        </is>
      </c>
      <c r="B114" s="2" t="str">
        <f>=HYPERLINK("https://pan.quark.cn/s/abec8ac4fd30", "https://pan.quark.cn/s/abec8ac4fd30")</f>
        <v>https://pan.quark.cn/s/abec8ac4fd30</v>
      </c>
      <c r="C114" t="inlineStr">
        <is>
          <t>993.6G</t>
        </is>
      </c>
      <c r="D114" t="inlineStr">
        <is>
          <t>/AI生成视频/整合包/视频制作/特定行业从业者/技能入门</t>
        </is>
      </c>
      <c r="E114" t="inlineStr">
        <is>
          <t>https://dcn8qexvg13r.feishu.cn/share/base/query/shrcnMqxwwRkV3NUIUxPeab3sec</t>
        </is>
      </c>
      <c r="F114" t="inlineStr">
        <is>
          <t>请添加微信：k846211</t>
        </is>
      </c>
      <c r="G114" t="inlineStr">
        <is>
          <t>2025-11-09</t>
        </is>
      </c>
    </row>
    <row r="115" ht="25.5" customHeight="1">
      <c r="A115" t="inlineStr">
        <is>
          <t>财务自由之路系列（全六册）.epub</t>
        </is>
      </c>
      <c r="B115" s="2" t="str">
        <f>=HYPERLINK("https://pan.quark.cn/s/b89911b9e494", "https://pan.quark.cn/s/b89911b9e494")</f>
        <v>https://pan.quark.cn/s/b89911b9e494</v>
      </c>
      <c r="C115" t="inlineStr">
        <is>
          <t>4.4M</t>
        </is>
      </c>
      <c r="D115" t="inlineStr">
        <is>
          <t>/财务自由/个人理财/系列书籍/白领/管理者</t>
        </is>
      </c>
      <c r="E115" t="inlineStr">
        <is>
          <t>https://dcn8qexvg13r.feishu.cn/share/base/query/shrcnMqxwwRkV3NUIUxPeab3sec</t>
        </is>
      </c>
      <c r="F115" t="inlineStr">
        <is>
          <t>请添加微信：k846211</t>
        </is>
      </c>
      <c r="G115" t="inlineStr">
        <is>
          <t>2025-11-09</t>
        </is>
      </c>
    </row>
    <row r="116" ht="25.5" customHeight="1">
      <c r="A116" t="inlineStr">
        <is>
          <t>财务自由之路系列（全六册）.mobi</t>
        </is>
      </c>
      <c r="B116" s="2" t="str">
        <f>=HYPERLINK("https://pan.quark.cn/s/34b18e3b17c0", "https://pan.quark.cn/s/34b18e3b17c0")</f>
        <v>https://pan.quark.cn/s/34b18e3b17c0</v>
      </c>
      <c r="C116" t="inlineStr">
        <is>
          <t>12M</t>
        </is>
      </c>
      <c r="D116" t="inlineStr">
        <is>
          <t>/财务自由/理财/个人理财/投资/mobi/白领/管理者</t>
        </is>
      </c>
      <c r="E116" t="inlineStr">
        <is>
          <t>https://dcn8qexvg13r.feishu.cn/share/base/query/shrcnMqxwwRkV3NUIUxPeab3sec</t>
        </is>
      </c>
      <c r="F116" t="inlineStr">
        <is>
          <t>请添加微信：k846211</t>
        </is>
      </c>
      <c r="G116" t="inlineStr">
        <is>
          <t>2025-11-09</t>
        </is>
      </c>
    </row>
    <row r="117" ht="25.5" customHeight="1">
      <c r="A117" t="inlineStr">
        <is>
          <t>财务自由之路系列（全六册）.pdf</t>
        </is>
      </c>
      <c r="B117" s="2" t="str">
        <f>=HYPERLINK("https://pan.quark.cn/s/3fed0a46e444", "https://pan.quark.cn/s/3fed0a46e444")</f>
        <v>https://pan.quark.cn/s/3fed0a46e444</v>
      </c>
      <c r="C117" t="inlineStr">
        <is>
          <t>14.9M</t>
        </is>
      </c>
      <c r="D117" t="inlineStr">
        <is>
          <t>/财务自由/理财/个人财富管理/系列书籍/白领/管理者</t>
        </is>
      </c>
      <c r="E117" t="inlineStr">
        <is>
          <t>https://dcn8qexvg13r.feishu.cn/share/base/query/shrcnMqxwwRkV3NUIUxPeab3sec</t>
        </is>
      </c>
      <c r="F117" t="inlineStr">
        <is>
          <t>请添加微信：k846211</t>
        </is>
      </c>
      <c r="G117" t="inlineStr">
        <is>
          <t>2025-11-09</t>
        </is>
      </c>
    </row>
    <row r="118" ht="25.5" customHeight="1">
      <c r="A118" t="inlineStr">
        <is>
          <t>中国318个5A级景区视频讲解+185个航拍</t>
        </is>
      </c>
      <c r="B118" s="2" t="str">
        <f>=HYPERLINK("https://pan.quark.cn/s/be5b7108387e", "https://pan.quark.cn/s/be5b7108387e")</f>
        <v>https://pan.quark.cn/s/be5b7108387e</v>
      </c>
      <c r="C118" t="inlineStr">
        <is>
          <t>76.2G</t>
        </is>
      </c>
      <c r="D118" t="inlineStr">
        <is>
          <t>/5A级景区/视频讲解/航拍/旅游/其他</t>
        </is>
      </c>
      <c r="E118" t="inlineStr">
        <is>
          <t>https://dcn8qexvg13r.feishu.cn/share/base/query/shrcnMqxwwRkV3NUIUxPeab3sec</t>
        </is>
      </c>
      <c r="F118" t="inlineStr">
        <is>
          <t>请添加微信：k846211</t>
        </is>
      </c>
      <c r="G118" t="inlineStr">
        <is>
          <t>2025-11-09</t>
        </is>
      </c>
    </row>
    <row r="119" ht="25.5" customHeight="1">
      <c r="A119" t="inlineStr">
        <is>
          <t>【教资笔试】25下教资笔试备考资源！新增考点+网课+笔记+真题+答题技巧+主观专项+题库+必背简答题+口诀</t>
        </is>
      </c>
      <c r="B119" s="2" t="str">
        <f>=HYPERLINK("https://pan.quark.cn/s/5dad20ebd765", "https://pan.quark.cn/s/5dad20ebd765")</f>
        <v>https://pan.quark.cn/s/5dad20ebd765</v>
      </c>
      <c r="C119" t="inlineStr">
        <is>
          <t>44.3G</t>
        </is>
      </c>
      <c r="D119" t="inlineStr">
        <is>
          <t>/教资笔试/备考资源/新增考点/真题/考研/考公/考证党</t>
        </is>
      </c>
      <c r="E119" t="inlineStr">
        <is>
          <t>https://dcn8qexvg13r.feishu.cn/share/base/query/shrcnMqxwwRkV3NUIUxPeab3sec</t>
        </is>
      </c>
      <c r="F119" t="inlineStr">
        <is>
          <t>请添加微信：k846211</t>
        </is>
      </c>
      <c r="G119" t="inlineStr">
        <is>
          <t>2025-11-09</t>
        </is>
      </c>
    </row>
    <row r="120" ht="25.5" customHeight="1">
      <c r="A120" t="inlineStr">
        <is>
          <t>2024下半年酒店经营管理课</t>
        </is>
      </c>
      <c r="B120" s="2" t="str">
        <f>=HYPERLINK("https://pan.quark.cn/s/ffd403d49f8a", "https://pan.quark.cn/s/ffd403d49f8a")</f>
        <v>https://pan.quark.cn/s/ffd403d49f8a</v>
      </c>
      <c r="C120" t="inlineStr">
        <is>
          <t>425.5M</t>
        </is>
      </c>
      <c r="D120" t="inlineStr">
        <is>
          <t>/酒店经营/管理课程/2024下半年/管理者/特定行业从业者</t>
        </is>
      </c>
      <c r="E120" t="inlineStr">
        <is>
          <t>https://dcn8qexvg13r.feishu.cn/share/base/query/shrcnMqxwwRkV3NUIUxPeab3sec</t>
        </is>
      </c>
      <c r="F120" t="inlineStr">
        <is>
          <t>请添加微信：k846211</t>
        </is>
      </c>
      <c r="G120" t="inlineStr">
        <is>
          <t>2025-11-09</t>
        </is>
      </c>
    </row>
    <row r="121" ht="25.5" customHeight="1">
      <c r="A121" t="inlineStr">
        <is>
          <t>教你成为社交应酬的高手</t>
        </is>
      </c>
      <c r="B121" s="2" t="str">
        <f>=HYPERLINK("https://pan.quark.cn/s/4d82afa31adc", "https://pan.quark.cn/s/4d82afa31adc")</f>
        <v>https://pan.quark.cn/s/4d82afa31adc</v>
      </c>
      <c r="C121" t="inlineStr">
        <is>
          <t>624.2M</t>
        </is>
      </c>
      <c r="D121" t="inlineStr">
        <is>
          <t>/社交应酬/社交技巧/人际交往/沟通能力/白领/管理者</t>
        </is>
      </c>
      <c r="E121" t="inlineStr">
        <is>
          <t>https://dcn8qexvg13r.feishu.cn/share/base/query/shrcnMqxwwRkV3NUIUxPeab3sec</t>
        </is>
      </c>
      <c r="F121" t="inlineStr">
        <is>
          <t>请添加微信：k846211</t>
        </is>
      </c>
      <c r="G121" t="inlineStr">
        <is>
          <t>2025-11-09</t>
        </is>
      </c>
    </row>
    <row r="122" ht="25.5" customHeight="1">
      <c r="A122" t="inlineStr">
        <is>
          <t>2024全年小红书1-6年级收费资源完整版</t>
        </is>
      </c>
      <c r="B122" s="2" t="str">
        <f>=HYPERLINK("https://pan.quark.cn/s/bf1e1c48c47d", "https://pan.quark.cn/s/bf1e1c48c47d")</f>
        <v>https://pan.quark.cn/s/bf1e1c48c47d</v>
      </c>
      <c r="C122" t="inlineStr">
        <is>
          <t>4.2G</t>
        </is>
      </c>
      <c r="D122" t="inlineStr">
        <is>
          <t>/小红书/1-6年级/收费资源/全年版/学龄儿童家长/K12</t>
        </is>
      </c>
      <c r="E122" t="inlineStr">
        <is>
          <t>https://dcn8qexvg13r.feishu.cn/share/base/query/shrcnMqxwwRkV3NUIUxPeab3sec</t>
        </is>
      </c>
      <c r="F122" t="inlineStr">
        <is>
          <t>请添加微信：k846211</t>
        </is>
      </c>
      <c r="G122" t="inlineStr">
        <is>
          <t>2025-11-09</t>
        </is>
      </c>
    </row>
    <row r="123" ht="25.5" customHeight="1">
      <c r="A123" t="inlineStr">
        <is>
          <t>百家讲坛最全合集378GB【按讲座人名字分】</t>
        </is>
      </c>
      <c r="B123" s="2" t="str">
        <f>=HYPERLINK("https://pan.quark.cn/s/15a446de499e", "https://pan.quark.cn/s/15a446de499e")</f>
        <v>https://pan.quark.cn/s/15a446de499e</v>
      </c>
      <c r="C123" t="inlineStr">
        <is>
          <t>389.8G</t>
        </is>
      </c>
      <c r="D123" t="inlineStr">
        <is>
          <t>/百家讲坛/历史文化/讲座视频/知识学习/大学生/管理者</t>
        </is>
      </c>
      <c r="E123" t="inlineStr">
        <is>
          <t>https://dcn8qexvg13r.feishu.cn/share/base/query/shrcnMqxwwRkV3NUIUxPeab3sec</t>
        </is>
      </c>
      <c r="F123" t="inlineStr">
        <is>
          <t>请添加微信：k846211</t>
        </is>
      </c>
      <c r="G123" t="inlineStr">
        <is>
          <t>2025-11-09</t>
        </is>
      </c>
    </row>
    <row r="124" ht="25.5" customHeight="1">
      <c r="A124" t="inlineStr">
        <is>
          <t>搞笑幽默素材合集</t>
        </is>
      </c>
      <c r="B124" s="2" t="str">
        <f>=HYPERLINK("https://pan.quark.cn/s/02e01a765529", "https://pan.quark.cn/s/02e01a765529")</f>
        <v>https://pan.quark.cn/s/02e01a765529</v>
      </c>
      <c r="C124" t="inlineStr">
        <is>
          <t>4.3G</t>
        </is>
      </c>
      <c r="D124" t="inlineStr">
        <is>
          <t>/搞笑/幽默/娱乐/白领/其他</t>
        </is>
      </c>
      <c r="E124" t="inlineStr">
        <is>
          <t>https://dcn8qexvg13r.feishu.cn/share/base/query/shrcnMqxwwRkV3NUIUxPeab3sec</t>
        </is>
      </c>
      <c r="F124" t="inlineStr">
        <is>
          <t>请添加微信：k846211</t>
        </is>
      </c>
      <c r="G124" t="inlineStr">
        <is>
          <t>2025-11-09</t>
        </is>
      </c>
    </row>
    <row r="125" ht="25.5" customHeight="1">
      <c r="A125" t="inlineStr">
        <is>
          <t>180天养成最强大脑【全集】(1)</t>
        </is>
      </c>
      <c r="B125" s="2" t="str">
        <f>=HYPERLINK("https://pan.quark.cn/s/42acbf12051c", "https://pan.quark.cn/s/42acbf12051c")</f>
        <v>https://pan.quark.cn/s/42acbf12051c</v>
      </c>
      <c r="C125" t="inlineStr">
        <is>
          <t>932.5M</t>
        </is>
      </c>
      <c r="D125" t="inlineStr">
        <is>
          <t>/最强大脑/180天/脑力养成/学习课程/宝妈/家长群体/大学生</t>
        </is>
      </c>
      <c r="E125" t="inlineStr">
        <is>
          <t>https://dcn8qexvg13r.feishu.cn/share/base/query/shrcnMqxwwRkV3NUIUxPeab3sec</t>
        </is>
      </c>
      <c r="F125" t="inlineStr">
        <is>
          <t>请添加微信：k846211</t>
        </is>
      </c>
      <c r="G125" t="inlineStr">
        <is>
          <t>2025-11-09</t>
        </is>
      </c>
    </row>
    <row r="126" ht="25.5" customHeight="1">
      <c r="A126" t="inlineStr">
        <is>
          <t>AI大模型应用开发模型训练落地(1)</t>
        </is>
      </c>
      <c r="B126" s="2" t="str">
        <f>=HYPERLINK("https://pan.quark.cn/s/a402881b5248", "https://pan.quark.cn/s/a402881b5248")</f>
        <v>https://pan.quark.cn/s/a402881b5248</v>
      </c>
      <c r="C126" t="inlineStr">
        <is>
          <t>7G</t>
        </is>
      </c>
      <c r="D126" t="inlineStr">
        <is>
          <t>AI大模型/应用开发/模型训练/落地实践/编程/特定行业从业者/白领</t>
        </is>
      </c>
      <c r="E126" t="inlineStr">
        <is>
          <t>https://dcn8qexvg13r.feishu.cn/share/base/query/shrcnMqxwwRkV3NUIUxPeab3sec</t>
        </is>
      </c>
      <c r="F126" t="inlineStr">
        <is>
          <t>请添加微信：k846211</t>
        </is>
      </c>
      <c r="G126" t="inlineStr">
        <is>
          <t>2025-11-09</t>
        </is>
      </c>
    </row>
    <row r="127" ht="25.5" customHeight="1">
      <c r="A127" t="inlineStr">
        <is>
          <t>蛊真人有声剧(1)</t>
        </is>
      </c>
      <c r="B127" s="2" t="str">
        <f>=HYPERLINK("https://pan.quark.cn/s/8a2c4853516e", "https://pan.quark.cn/s/8a2c4853516e")</f>
        <v>https://pan.quark.cn/s/8a2c4853516e</v>
      </c>
      <c r="C127" t="inlineStr">
        <is>
          <t>7.2G</t>
        </is>
      </c>
      <c r="D127" t="inlineStr">
        <is>
          <t>/蛊真人/有声剧/小说改编/音频娱乐/剧集</t>
        </is>
      </c>
      <c r="E127" t="inlineStr">
        <is>
          <t>https://dcn8qexvg13r.feishu.cn/share/base/query/shrcnMqxwwRkV3NUIUxPeab3sec</t>
        </is>
      </c>
      <c r="F127" t="inlineStr">
        <is>
          <t>请添加微信：k846211</t>
        </is>
      </c>
      <c r="G127" t="inlineStr">
        <is>
          <t>2025-11-09</t>
        </is>
      </c>
    </row>
    <row r="128" ht="25.5" customHeight="1">
      <c r="A128" t="inlineStr">
        <is>
          <t>180天养成最强大脑【全集】</t>
        </is>
      </c>
      <c r="B128" s="2" t="str">
        <f>=HYPERLINK("https://pan.quark.cn/s/122508dcb0e2", "https://pan.quark.cn/s/122508dcb0e2")</f>
        <v>https://pan.quark.cn/s/122508dcb0e2</v>
      </c>
      <c r="C128" t="inlineStr">
        <is>
          <t>932.5M</t>
        </is>
      </c>
      <c r="D128" t="inlineStr">
        <is>
          <t>/最强大脑/180天/脑力养成/训练课程/大学生/白领</t>
        </is>
      </c>
      <c r="E128" t="inlineStr">
        <is>
          <t>https://dcn8qexvg13r.feishu.cn/share/base/query/shrcnMqxwwRkV3NUIUxPeab3sec</t>
        </is>
      </c>
      <c r="F128" t="inlineStr">
        <is>
          <t>请添加微信：k846211</t>
        </is>
      </c>
      <c r="G128" t="inlineStr">
        <is>
          <t>2025-11-09</t>
        </is>
      </c>
    </row>
    <row r="129" ht="25.5" customHeight="1">
      <c r="A129" t="inlineStr">
        <is>
          <t>AI大模型应用开发模型训练落地</t>
        </is>
      </c>
      <c r="B129" s="2" t="str">
        <f>=HYPERLINK("https://pan.quark.cn/s/de2acc9f3888", "https://pan.quark.cn/s/de2acc9f3888")</f>
        <v>https://pan.quark.cn/s/de2acc9f3888</v>
      </c>
      <c r="C129" t="inlineStr">
        <is>
          <t>7G</t>
        </is>
      </c>
      <c r="D129" t="inlineStr">
        <is>
          <t>/AI大模型/应用开发/模型训练/落地实践/特定行业从业者/编程</t>
        </is>
      </c>
      <c r="E129" t="inlineStr">
        <is>
          <t>https://dcn8qexvg13r.feishu.cn/share/base/query/shrcnMqxwwRkV3NUIUxPeab3sec</t>
        </is>
      </c>
      <c r="F129" t="inlineStr">
        <is>
          <t>请添加微信：k846211</t>
        </is>
      </c>
      <c r="G129" t="inlineStr">
        <is>
          <t>2025-11-09</t>
        </is>
      </c>
    </row>
    <row r="130" ht="25.5" customHeight="1">
      <c r="A130" t="inlineStr">
        <is>
          <t>蛊真人有声剧</t>
        </is>
      </c>
      <c r="B130" s="2" t="str">
        <f>=HYPERLINK("https://pan.quark.cn/s/8f6f9325d045", "https://pan.quark.cn/s/8f6f9325d045")</f>
        <v>https://pan.quark.cn/s/8f6f9325d045</v>
      </c>
      <c r="C130" t="inlineStr">
        <is>
          <t>7.2G</t>
        </is>
      </c>
      <c r="D130" t="inlineStr">
        <is>
          <t>/蛊真人/有声剧/奇幻/修仙/剧集</t>
        </is>
      </c>
      <c r="E130" t="inlineStr">
        <is>
          <t>https://dcn8qexvg13r.feishu.cn/share/base/query/shrcnMqxwwRkV3NUIUxPeab3sec</t>
        </is>
      </c>
      <c r="F130" t="inlineStr">
        <is>
          <t>请添加微信：k846211</t>
        </is>
      </c>
      <c r="G130" t="inlineStr">
        <is>
          <t>2025-11-09</t>
        </is>
      </c>
    </row>
    <row r="131" ht="25.5" customHeight="1">
      <c r="A131" t="inlineStr">
        <is>
          <t>北大教授韩茂莉讲中国历史地理（完结）</t>
        </is>
      </c>
      <c r="B131" s="2" t="str">
        <f>=HYPERLINK("https://pan.quark.cn/s/55ad846e51ff", "https://pan.quark.cn/s/55ad846e51ff")</f>
        <v>https://pan.quark.cn/s/55ad846e51ff</v>
      </c>
      <c r="C131" t="inlineStr">
        <is>
          <t>5.7G</t>
        </is>
      </c>
      <c r="D131" t="inlineStr">
        <is>
          <t>/中国历史地理/北大教授/韩茂莉/课程/大学生/考研/考公/考证党</t>
        </is>
      </c>
      <c r="E131" t="inlineStr">
        <is>
          <t>https://dcn8qexvg13r.feishu.cn/share/base/query/shrcnMqxwwRkV3NUIUxPeab3sec</t>
        </is>
      </c>
      <c r="F131" t="inlineStr">
        <is>
          <t>请添加微信：k846211</t>
        </is>
      </c>
      <c r="G131" t="inlineStr">
        <is>
          <t>2025-11-09</t>
        </is>
      </c>
    </row>
    <row r="132" ht="25.5" customHeight="1">
      <c r="A132" t="inlineStr">
        <is>
          <t>2024年跨境电商利基选品案例</t>
        </is>
      </c>
      <c r="B132" s="2" t="str">
        <f>=HYPERLINK("https://pan.quark.cn/s/f6bc54a0eff8", "https://pan.quark.cn/s/f6bc54a0eff8")</f>
        <v>https://pan.quark.cn/s/f6bc54a0eff8</v>
      </c>
      <c r="C132" t="inlineStr">
        <is>
          <t>1G</t>
        </is>
      </c>
      <c r="D132" t="inlineStr">
        <is>
          <t>/跨境电商/利基选品/案例分析/2024/特定行业从业者</t>
        </is>
      </c>
      <c r="E132" t="inlineStr">
        <is>
          <t>https://dcn8qexvg13r.feishu.cn/share/base/query/shrcnMqxwwRkV3NUIUxPeab3sec</t>
        </is>
      </c>
      <c r="F132" t="inlineStr">
        <is>
          <t>请添加微信：k846211</t>
        </is>
      </c>
      <c r="G132" t="inlineStr">
        <is>
          <t>2025-11-09</t>
        </is>
      </c>
    </row>
    <row r="133" ht="25.5" customHeight="1">
      <c r="A133" t="inlineStr">
        <is>
          <t>三国演义（120集全）</t>
        </is>
      </c>
      <c r="B133" s="2" t="str">
        <f>=HYPERLINK("https://pan.quark.cn/s/bd21b8e06bc7", "https://pan.quark.cn/s/bd21b8e06bc7")</f>
        <v>https://pan.quark.cn/s/bd21b8e06bc7</v>
      </c>
      <c r="C133" t="inlineStr">
        <is>
          <t>3.5G</t>
        </is>
      </c>
      <c r="D133" t="inlineStr">
        <is>
          <t>/三国演义/历史/电视剧/剧集/其他</t>
        </is>
      </c>
      <c r="E133" t="inlineStr">
        <is>
          <t>https://dcn8qexvg13r.feishu.cn/share/base/query/shrcnMqxwwRkV3NUIUxPeab3sec</t>
        </is>
      </c>
      <c r="F133" t="inlineStr">
        <is>
          <t>请添加微信：k846211</t>
        </is>
      </c>
      <c r="G133" t="inlineStr">
        <is>
          <t>2025-11-09</t>
        </is>
      </c>
    </row>
    <row r="134" ht="25.5" customHeight="1">
      <c r="A134" t="inlineStr">
        <is>
          <t>Y 杨天真课程全集</t>
        </is>
      </c>
      <c r="B134" s="2" t="str">
        <f>=HYPERLINK("https://pan.quark.cn/s/302da586dd6d", "https://pan.quark.cn/s/302da586dd6d")</f>
        <v>https://pan.quark.cn/s/302da586dd6d</v>
      </c>
      <c r="C134" t="inlineStr">
        <is>
          <t>5.1G</t>
        </is>
      </c>
      <c r="D134" t="inlineStr">
        <is>
          <t>/杨天真/职场/个人提升/课程/白领/管理者</t>
        </is>
      </c>
      <c r="E134" t="inlineStr">
        <is>
          <t>https://dcn8qexvg13r.feishu.cn/share/base/query/shrcnMqxwwRkV3NUIUxPeab3sec</t>
        </is>
      </c>
      <c r="F134" t="inlineStr">
        <is>
          <t>请添加微信：k846211</t>
        </is>
      </c>
      <c r="G134" t="inlineStr">
        <is>
          <t>2025-11-09</t>
        </is>
      </c>
    </row>
    <row r="135" ht="25.5" customHeight="1">
      <c r="A135" t="inlineStr">
        <is>
          <t>从中国出发的全球史 用故事复活历史现场【完结】</t>
        </is>
      </c>
      <c r="B135" s="2" t="str">
        <f>=HYPERLINK("https://pan.quark.cn/s/1f503edd0753", "https://pan.quark.cn/s/1f503edd0753")</f>
        <v>https://pan.quark.cn/s/1f503edd0753</v>
      </c>
      <c r="C135" t="inlineStr">
        <is>
          <t>4.5G</t>
        </is>
      </c>
      <c r="D135" t="inlineStr">
        <is>
          <t>/全球史/中国视角/历史故事/完结课程/大学生/考研/考公/考证党</t>
        </is>
      </c>
      <c r="E135" t="inlineStr">
        <is>
          <t>https://dcn8qexvg13r.feishu.cn/share/base/query/shrcnMqxwwRkV3NUIUxPeab3sec</t>
        </is>
      </c>
      <c r="F135" t="inlineStr">
        <is>
          <t>请添加微信：k846211</t>
        </is>
      </c>
      <c r="G135" t="inlineStr">
        <is>
          <t>2025-11-09</t>
        </is>
      </c>
    </row>
    <row r="136" ht="25.5" customHeight="1">
      <c r="A136" t="inlineStr">
        <is>
          <t>国之重宝：北京故宫600年【完结】</t>
        </is>
      </c>
      <c r="B136" s="2" t="str">
        <f>=HYPERLINK("https://pan.quark.cn/s/f6c72e1f1371", "https://pan.quark.cn/s/f6c72e1f1371")</f>
        <v>https://pan.quark.cn/s/f6c72e1f1371</v>
      </c>
      <c r="C136" t="inlineStr">
        <is>
          <t>476.4M</t>
        </is>
      </c>
      <c r="D136" t="inlineStr">
        <is>
          <t>/北京故宫/600年/历史文化/纪录片/大学生/其他</t>
        </is>
      </c>
      <c r="E136" t="inlineStr">
        <is>
          <t>https://dcn8qexvg13r.feishu.cn/share/base/query/shrcnMqxwwRkV3NUIUxPeab3sec</t>
        </is>
      </c>
      <c r="F136" t="inlineStr">
        <is>
          <t>请添加微信：k846211</t>
        </is>
      </c>
      <c r="G136" t="inlineStr">
        <is>
          <t>2025-11-09</t>
        </is>
      </c>
    </row>
    <row r="137" ht="25.5" customHeight="1">
      <c r="A137" t="inlineStr">
        <is>
          <t>北大姐妹花学霸家长课合集</t>
        </is>
      </c>
      <c r="B137" s="2" t="str">
        <f>=HYPERLINK("https://pan.quark.cn/s/3de3d2d0fc13", "https://pan.quark.cn/s/3de3d2d0fc13")</f>
        <v>https://pan.quark.cn/s/3de3d2d0fc13</v>
      </c>
      <c r="C137" t="inlineStr">
        <is>
          <t>2.5G</t>
        </is>
      </c>
      <c r="D137" t="inlineStr">
        <is>
          <t>/学霸家长/家庭教育/K12教育/课程/宝妈/家长群体/学龄儿童家长</t>
        </is>
      </c>
      <c r="E137" t="inlineStr">
        <is>
          <t>https://dcn8qexvg13r.feishu.cn/share/base/query/shrcnMqxwwRkV3NUIUxPeab3sec</t>
        </is>
      </c>
      <c r="F137" t="inlineStr">
        <is>
          <t>请添加微信：k846211</t>
        </is>
      </c>
      <c r="G137" t="inlineStr">
        <is>
          <t>2025-11-09</t>
        </is>
      </c>
    </row>
    <row r="138" ht="25.5" customHeight="1">
      <c r="A138" t="inlineStr">
        <is>
          <t>0-3岁在家早教全攻略</t>
        </is>
      </c>
      <c r="B138" s="2" t="str">
        <f>=HYPERLINK("https://pan.quark.cn/s/cb9b5705ef5f", "https://pan.quark.cn/s/cb9b5705ef5f")</f>
        <v>https://pan.quark.cn/s/cb9b5705ef5f</v>
      </c>
      <c r="C138" t="inlineStr">
        <is>
          <t>4.9G</t>
        </is>
      </c>
      <c r="D138" t="inlineStr">
        <is>
          <t>/0-3岁/早教/在家早教/育儿/宝妈/家长群体/育儿</t>
        </is>
      </c>
      <c r="E138" t="inlineStr">
        <is>
          <t>https://dcn8qexvg13r.feishu.cn/share/base/query/shrcnMqxwwRkV3NUIUxPeab3sec</t>
        </is>
      </c>
      <c r="F138" t="inlineStr">
        <is>
          <t>请添加微信：k846211</t>
        </is>
      </c>
      <c r="G138" t="inlineStr">
        <is>
          <t>2025-11-09</t>
        </is>
      </c>
    </row>
    <row r="139" ht="25.5" customHeight="1">
      <c r="A139" t="inlineStr">
        <is>
          <t>黄执中：35天超级说服力（完结）</t>
        </is>
      </c>
      <c r="B139" s="2" t="str">
        <f>=HYPERLINK("https://pan.quark.cn/s/0931af5be256", "https://pan.quark.cn/s/0931af5be256")</f>
        <v>https://pan.quark.cn/s/0931af5be256</v>
      </c>
      <c r="C139" t="inlineStr">
        <is>
          <t>4.6G</t>
        </is>
      </c>
      <c r="D139" t="inlineStr">
        <is>
          <t>/说服力/黄执中/课程/沟通技巧/白领/管理者</t>
        </is>
      </c>
      <c r="E139" t="inlineStr">
        <is>
          <t>https://dcn8qexvg13r.feishu.cn/share/base/query/shrcnMqxwwRkV3NUIUxPeab3sec</t>
        </is>
      </c>
      <c r="F139" t="inlineStr">
        <is>
          <t>请添加微信：k846211</t>
        </is>
      </c>
      <c r="G139" t="inlineStr">
        <is>
          <t>2025-11-09</t>
        </is>
      </c>
    </row>
    <row r="140" ht="25.5" customHeight="1">
      <c r="A140" t="inlineStr">
        <is>
          <t>鬼谷的生物演化课</t>
        </is>
      </c>
      <c r="B140" s="2" t="str">
        <f>=HYPERLINK("https://pan.quark.cn/s/3c60845d74e9", "https://pan.quark.cn/s/3c60845d74e9")</f>
        <v>https://pan.quark.cn/s/3c60845d74e9</v>
      </c>
      <c r="C140" t="inlineStr">
        <is>
          <t>5.6G</t>
        </is>
      </c>
      <c r="D140" t="inlineStr">
        <is>
          <t>/生物演化/课程/鬼谷/K12/大学生</t>
        </is>
      </c>
      <c r="E140" t="inlineStr">
        <is>
          <t>https://dcn8qexvg13r.feishu.cn/share/base/query/shrcnMqxwwRkV3NUIUxPeab3sec</t>
        </is>
      </c>
      <c r="F140" t="inlineStr">
        <is>
          <t>请添加微信：k846211</t>
        </is>
      </c>
      <c r="G140" t="inlineStr">
        <is>
          <t>2025-11-09</t>
        </is>
      </c>
    </row>
    <row r="141" ht="25.5" customHeight="1">
      <c r="A141" t="inlineStr">
        <is>
          <t>2025医考帮一考通课程</t>
        </is>
      </c>
      <c r="B141" s="2" t="str">
        <f>=HYPERLINK("https://pan.quark.cn/s/5ec5673622c7", "https://pan.quark.cn/s/5ec5673622c7")</f>
        <v>https://pan.quark.cn/s/5ec5673622c7</v>
      </c>
      <c r="C141" t="inlineStr">
        <is>
          <t>249.5G</t>
        </is>
      </c>
      <c r="D141" t="inlineStr">
        <is>
          <t>/医考/一考通/课程/备考/考研/考公/考证党</t>
        </is>
      </c>
      <c r="E141" t="inlineStr">
        <is>
          <t>https://dcn8qexvg13r.feishu.cn/share/base/query/shrcnMqxwwRkV3NUIUxPeab3sec</t>
        </is>
      </c>
      <c r="F141" t="inlineStr">
        <is>
          <t>请添加微信：k846211</t>
        </is>
      </c>
      <c r="G141" t="inlineStr">
        <is>
          <t>2025-11-09</t>
        </is>
      </c>
    </row>
    <row r="142" ht="25.5" customHeight="1">
      <c r="A142" t="inlineStr">
        <is>
          <t>产品动态全流程C4D+OC渲染课</t>
        </is>
      </c>
      <c r="B142" s="2" t="str">
        <f>=HYPERLINK("https://pan.quark.cn/s/0f833268e70c", "https://pan.quark.cn/s/0f833268e70c")</f>
        <v>https://pan.quark.cn/s/0f833268e70c</v>
      </c>
      <c r="C142" t="inlineStr">
        <is>
          <t>9.9G</t>
        </is>
      </c>
      <c r="D142" t="inlineStr">
        <is>
          <t>C4D/OC渲染/产品动态/技能学习/特定行业从业者</t>
        </is>
      </c>
      <c r="E142" t="inlineStr">
        <is>
          <t>https://dcn8qexvg13r.feishu.cn/share/base/query/shrcnMqxwwRkV3NUIUxPeab3sec</t>
        </is>
      </c>
      <c r="F142" t="inlineStr">
        <is>
          <t>请添加微信：k846211</t>
        </is>
      </c>
      <c r="G142" t="inlineStr">
        <is>
          <t>2025-11-09</t>
        </is>
      </c>
    </row>
    <row r="143" ht="25.5" customHeight="1">
      <c r="A143" t="inlineStr">
        <is>
          <t>21个妙招，教你相亲一次就成功</t>
        </is>
      </c>
      <c r="B143" s="2" t="str">
        <f>=HYPERLINK("https://pan.quark.cn/s/d3fbcdcd3328", "https://pan.quark.cn/s/d3fbcdcd3328")</f>
        <v>https://pan.quark.cn/s/d3fbcdcd3328</v>
      </c>
      <c r="C143" t="inlineStr">
        <is>
          <t>62M</t>
        </is>
      </c>
      <c r="D143" t="inlineStr">
        <is>
          <t>/相亲/成功技巧/妙招/实用方法/白领/其他</t>
        </is>
      </c>
      <c r="E143" t="inlineStr">
        <is>
          <t>https://dcn8qexvg13r.feishu.cn/share/base/query/shrcnMqxwwRkV3NUIUxPeab3sec</t>
        </is>
      </c>
      <c r="F143" t="inlineStr">
        <is>
          <t>请添加微信：k846211</t>
        </is>
      </c>
      <c r="G143" t="inlineStr">
        <is>
          <t>2025-11-09</t>
        </is>
      </c>
    </row>
    <row r="144" ht="25.5" customHeight="1">
      <c r="A144" t="inlineStr">
        <is>
          <t>57套趣味游戏英语教学PPT</t>
        </is>
      </c>
      <c r="B144" s="2" t="str">
        <f>=HYPERLINK("https://pan.quark.cn/s/203850e771b1", "https://pan.quark.cn/s/203850e771b1")</f>
        <v>https://pan.quark.cn/s/203850e771b1</v>
      </c>
      <c r="C144" t="inlineStr">
        <is>
          <t>313.7M</t>
        </is>
      </c>
      <c r="D144" t="inlineStr">
        <is>
          <t>/趣味游戏/英语教学/PPT/英语学习/K12/学龄儿童家长</t>
        </is>
      </c>
      <c r="E144" t="inlineStr">
        <is>
          <t>https://dcn8qexvg13r.feishu.cn/share/base/query/shrcnMqxwwRkV3NUIUxPeab3sec</t>
        </is>
      </c>
      <c r="F144" t="inlineStr">
        <is>
          <t>请添加微信：k846211</t>
        </is>
      </c>
      <c r="G144" t="inlineStr">
        <is>
          <t>2025-11-09</t>
        </is>
      </c>
    </row>
    <row r="145" ht="25.5" customHeight="1">
      <c r="A145" t="inlineStr">
        <is>
          <t>单兵野外生存技巧</t>
        </is>
      </c>
      <c r="B145" s="2" t="str">
        <f>=HYPERLINK("https://pan.quark.cn/s/af8bdd04b841", "https://pan.quark.cn/s/af8bdd04b841")</f>
        <v>https://pan.quark.cn/s/af8bdd04b841</v>
      </c>
      <c r="C145" t="inlineStr">
        <is>
          <t>146.9M</t>
        </is>
      </c>
      <c r="D145" t="inlineStr">
        <is>
          <t>/野外生存/单兵技能/生存技巧/特定行业从业者/技能入门</t>
        </is>
      </c>
      <c r="E145" t="inlineStr">
        <is>
          <t>https://dcn8qexvg13r.feishu.cn/share/base/query/shrcnMqxwwRkV3NUIUxPeab3sec</t>
        </is>
      </c>
      <c r="F145" t="inlineStr">
        <is>
          <t>请添加微信：k846211</t>
        </is>
      </c>
      <c r="G145" t="inlineStr">
        <is>
          <t>2025-11-09</t>
        </is>
      </c>
    </row>
    <row r="146" ht="25.5" customHeight="1">
      <c r="A146" t="inlineStr">
        <is>
          <t>北大彭吉象教授：中国传统美学（完结）</t>
        </is>
      </c>
      <c r="B146" s="2" t="str">
        <f>=HYPERLINK("https://pan.quark.cn/s/f93e89bab268", "https://pan.quark.cn/s/f93e89bab268")</f>
        <v>https://pan.quark.cn/s/f93e89bab268</v>
      </c>
      <c r="C146" t="inlineStr">
        <is>
          <t>3.2G</t>
        </is>
      </c>
      <c r="D146" t="inlineStr">
        <is>
          <t>/中国传统美学/北大/彭吉象/教授课程/大学生/特定行业从业者</t>
        </is>
      </c>
      <c r="E146" t="inlineStr">
        <is>
          <t>https://dcn8qexvg13r.feishu.cn/share/base/query/shrcnMqxwwRkV3NUIUxPeab3sec</t>
        </is>
      </c>
      <c r="F146" t="inlineStr">
        <is>
          <t>请添加微信：k846211</t>
        </is>
      </c>
      <c r="G146" t="inlineStr">
        <is>
          <t>2025-11-09</t>
        </is>
      </c>
    </row>
    <row r="147" ht="25.5" customHeight="1">
      <c r="A147" t="inlineStr">
        <is>
          <t>车载音乐无损系列合集（3598首）</t>
        </is>
      </c>
      <c r="B147" s="2" t="str">
        <f>=HYPERLINK("https://pan.quark.cn/s/d666bb1a9b06", "https://pan.quark.cn/s/d666bb1a9b06")</f>
        <v>https://pan.quark.cn/s/d666bb1a9b06</v>
      </c>
      <c r="C147" t="inlineStr">
        <is>
          <t>50.9G</t>
        </is>
      </c>
      <c r="D147" t="inlineStr">
        <is>
          <t>/车载音乐/无损音乐/音乐/音乐迷</t>
        </is>
      </c>
      <c r="E147" t="inlineStr">
        <is>
          <t>https://dcn8qexvg13r.feishu.cn/share/base/query/shrcnMqxwwRkV3NUIUxPeab3sec</t>
        </is>
      </c>
      <c r="F147" t="inlineStr">
        <is>
          <t>请添加微信：k846211</t>
        </is>
      </c>
      <c r="G147" t="inlineStr">
        <is>
          <t>2025-11-09</t>
        </is>
      </c>
    </row>
    <row r="148" ht="25.5" customHeight="1">
      <c r="A148" t="inlineStr">
        <is>
          <t>初级几何体素描入门画好素描石膏几何体</t>
        </is>
      </c>
      <c r="B148" s="2" t="str">
        <f>=HYPERLINK("https://pan.quark.cn/s/8b0277aa7dbb", "https://pan.quark.cn/s/8b0277aa7dbb")</f>
        <v>https://pan.quark.cn/s/8b0277aa7dbb</v>
      </c>
      <c r="C148" t="inlineStr">
        <is>
          <t>4.2G</t>
        </is>
      </c>
      <c r="D148" t="inlineStr">
        <is>
          <t>/几何体素描/素描入门/石膏几何体/技能入门/技能入门</t>
        </is>
      </c>
      <c r="E148" t="inlineStr">
        <is>
          <t>https://dcn8qexvg13r.feishu.cn/share/base/query/shrcnMqxwwRkV3NUIUxPeab3sec</t>
        </is>
      </c>
      <c r="F148" t="inlineStr">
        <is>
          <t>请添加微信：k846211</t>
        </is>
      </c>
      <c r="G148" t="inlineStr">
        <is>
          <t>2025-11-09</t>
        </is>
      </c>
    </row>
    <row r="149" ht="25.5" customHeight="1">
      <c r="A149" t="inlineStr">
        <is>
          <t>24个绘本阅读秘籍，从小提升孩子阅读力，做高情商宝宝（完结）</t>
        </is>
      </c>
      <c r="B149" s="2" t="str">
        <f>=HYPERLINK("https://pan.quark.cn/s/eba815e93156", "https://pan.quark.cn/s/eba815e93156")</f>
        <v>https://pan.quark.cn/s/eba815e93156</v>
      </c>
      <c r="C149" t="inlineStr">
        <is>
          <t>414.9M</t>
        </is>
      </c>
      <c r="D149" t="inlineStr">
        <is>
          <t>绘本阅读/阅读力提升/高情商培养/育儿秘籍/宝妈/家长群体/学龄儿童家长</t>
        </is>
      </c>
      <c r="E149" t="inlineStr">
        <is>
          <t>https://dcn8qexvg13r.feishu.cn/share/base/query/shrcnMqxwwRkV3NUIUxPeab3sec</t>
        </is>
      </c>
      <c r="F149" t="inlineStr">
        <is>
          <t>请添加微信：k846211</t>
        </is>
      </c>
      <c r="G149" t="inlineStr">
        <is>
          <t>2025-11-09</t>
        </is>
      </c>
    </row>
    <row r="150" ht="25.5" customHeight="1">
      <c r="A150" t="inlineStr">
        <is>
          <t>零基础学陶笛［完结］</t>
        </is>
      </c>
      <c r="B150" s="2" t="str">
        <f>=HYPERLINK("https://pan.quark.cn/s/0d08a6f51a81", "https://pan.quark.cn/s/0d08a6f51a81")</f>
        <v>https://pan.quark.cn/s/0d08a6f51a81</v>
      </c>
      <c r="C150" t="inlineStr">
        <is>
          <t>7.9G</t>
        </is>
      </c>
      <c r="D150" t="inlineStr">
        <is>
          <t>/陶笛/零基础/技能入门/音乐/乐器/技能入门/音乐迷</t>
        </is>
      </c>
      <c r="E150" t="inlineStr">
        <is>
          <t>https://dcn8qexvg13r.feishu.cn/share/base/query/shrcnMqxwwRkV3NUIUxPeab3sec</t>
        </is>
      </c>
      <c r="F150" t="inlineStr">
        <is>
          <t>请添加微信：k846211</t>
        </is>
      </c>
      <c r="G150" t="inlineStr">
        <is>
          <t>2025-11-09</t>
        </is>
      </c>
    </row>
    <row r="151" ht="25.5" customHeight="1">
      <c r="A151" t="inlineStr">
        <is>
          <t>蝶变高考《高中数学小题必刷·2025版》</t>
        </is>
      </c>
      <c r="B151" s="2" t="str">
        <f>=HYPERLINK("https://pan.quark.cn/s/f4d0dea0d1fb", "https://pan.quark.cn/s/f4d0dea0d1fb")</f>
        <v>https://pan.quark.cn/s/f4d0dea0d1fb</v>
      </c>
      <c r="C151" t="inlineStr">
        <is>
          <t>730.8M</t>
        </is>
      </c>
      <c r="D151" t="inlineStr">
        <is>
          <t>/高中数学/小题必刷/高考备考/教辅资料/K12</t>
        </is>
      </c>
      <c r="E151" t="inlineStr">
        <is>
          <t>https://dcn8qexvg13r.feishu.cn/share/base/query/shrcnMqxwwRkV3NUIUxPeab3sec</t>
        </is>
      </c>
      <c r="F151" t="inlineStr">
        <is>
          <t>请添加微信：k846211</t>
        </is>
      </c>
      <c r="G151" t="inlineStr">
        <is>
          <t>2025-11-09</t>
        </is>
      </c>
    </row>
    <row r="152" ht="25.5" customHeight="1">
      <c r="A152" t="inlineStr">
        <is>
          <t>CiCi短篇漫画创作第31期课程</t>
        </is>
      </c>
      <c r="B152" s="2" t="str">
        <f>=HYPERLINK("https://pan.quark.cn/s/5be682b9d224", "https://pan.quark.cn/s/5be682b9d224")</f>
        <v>https://pan.quark.cn/s/5be682b9d224</v>
      </c>
      <c r="C152" t="inlineStr">
        <is>
          <t>5.2G</t>
        </is>
      </c>
      <c r="D152" t="inlineStr">
        <is>
          <t>/短篇漫画/漫画创作/课程/技能入门/动漫</t>
        </is>
      </c>
      <c r="E152" t="inlineStr">
        <is>
          <t>https://dcn8qexvg13r.feishu.cn/share/base/query/shrcnMqxwwRkV3NUIUxPeab3sec</t>
        </is>
      </c>
      <c r="F152" t="inlineStr">
        <is>
          <t>请添加微信：k846211</t>
        </is>
      </c>
      <c r="G152" t="inlineStr">
        <is>
          <t>2025-11-09</t>
        </is>
      </c>
    </row>
    <row r="153" ht="25.5" customHeight="1">
      <c r="A153" t="inlineStr">
        <is>
          <t>博雅学堂《从中国出发的全球史 (音频课程) 》</t>
        </is>
      </c>
      <c r="B153" s="2" t="str">
        <f>=HYPERLINK("https://pan.quark.cn/s/b6f67386f9fd", "https://pan.quark.cn/s/b6f67386f9fd")</f>
        <v>https://pan.quark.cn/s/b6f67386f9fd</v>
      </c>
      <c r="C153" t="inlineStr">
        <is>
          <t>4.5G</t>
        </is>
      </c>
      <c r="D153" t="inlineStr">
        <is>
          <t>/全球史/中国视角/音频课程/历史学习/大学生/白领</t>
        </is>
      </c>
      <c r="E153" t="inlineStr">
        <is>
          <t>https://dcn8qexvg13r.feishu.cn/share/base/query/shrcnMqxwwRkV3NUIUxPeab3sec</t>
        </is>
      </c>
      <c r="F153" t="inlineStr">
        <is>
          <t>请添加微信：k846211</t>
        </is>
      </c>
      <c r="G153" t="inlineStr">
        <is>
          <t>2025-11-09</t>
        </is>
      </c>
    </row>
    <row r="154" ht="25.5" customHeight="1">
      <c r="A154" t="inlineStr">
        <is>
          <t>Go+Vue通用后台管理项目实战</t>
        </is>
      </c>
      <c r="B154" s="2" t="str">
        <f>=HYPERLINK("https://pan.quark.cn/s/13be6c59fdb7", "https://pan.quark.cn/s/13be6c59fdb7")</f>
        <v>https://pan.quark.cn/s/13be6c59fdb7</v>
      </c>
      <c r="C154" t="inlineStr">
        <is>
          <t>8.5G</t>
        </is>
      </c>
      <c r="D154" t="inlineStr">
        <is>
          <t>Go/Vue/后台管理/项目实战/编程</t>
        </is>
      </c>
      <c r="E154" t="inlineStr">
        <is>
          <t>https://dcn8qexvg13r.feishu.cn/share/base/query/shrcnMqxwwRkV3NUIUxPeab3sec</t>
        </is>
      </c>
      <c r="F154" t="inlineStr">
        <is>
          <t>请添加微信：k846211</t>
        </is>
      </c>
      <c r="G154" t="inlineStr">
        <is>
          <t>2025-11-09</t>
        </is>
      </c>
    </row>
    <row r="155" ht="25.5" customHeight="1">
      <c r="A155" t="inlineStr">
        <is>
          <t>短视频创作与运营，掌握短视频创业的核心逻辑与思维</t>
        </is>
      </c>
      <c r="B155" s="2" t="str">
        <f>=HYPERLINK("https://pan.quark.cn/s/741f27b093c1", "https://pan.quark.cn/s/741f27b093c1")</f>
        <v>https://pan.quark.cn/s/741f27b093c1</v>
      </c>
      <c r="C155" t="inlineStr">
        <is>
          <t>1.3G</t>
        </is>
      </c>
      <c r="D155" t="inlineStr">
        <is>
          <t>/短视频创作/短视频运营/创业核心逻辑/创业思维/特定行业从业者/技能入门</t>
        </is>
      </c>
      <c r="E155" t="inlineStr">
        <is>
          <t>https://dcn8qexvg13r.feishu.cn/share/base/query/shrcnMqxwwRkV3NUIUxPeab3sec</t>
        </is>
      </c>
      <c r="F155" t="inlineStr">
        <is>
          <t>请添加微信：k846211</t>
        </is>
      </c>
      <c r="G155" t="inlineStr">
        <is>
          <t>2025-11-09</t>
        </is>
      </c>
    </row>
    <row r="156" ht="25.5" customHeight="1">
      <c r="A156" t="inlineStr">
        <is>
          <t>各类养生酒配方大全</t>
        </is>
      </c>
      <c r="B156" s="2" t="str">
        <f>=HYPERLINK("https://pan.quark.cn/s/924070d82154", "https://pan.quark.cn/s/924070d82154")</f>
        <v>https://pan.quark.cn/s/924070d82154</v>
      </c>
      <c r="C156" t="inlineStr">
        <is>
          <t>667K</t>
        </is>
      </c>
      <c r="D156" t="inlineStr">
        <is>
          <t>/养生酒/配方/保健/养生/特定行业从业者/其他</t>
        </is>
      </c>
      <c r="E156" t="inlineStr">
        <is>
          <t>https://dcn8qexvg13r.feishu.cn/share/base/query/shrcnMqxwwRkV3NUIUxPeab3sec</t>
        </is>
      </c>
      <c r="F156" t="inlineStr">
        <is>
          <t>请添加微信：k846211</t>
        </is>
      </c>
      <c r="G156" t="inlineStr">
        <is>
          <t>2025-11-09</t>
        </is>
      </c>
    </row>
    <row r="157" ht="25.5" customHeight="1">
      <c r="A157" t="inlineStr">
        <is>
          <t>15节教你如何一张漂亮的电子表格</t>
        </is>
      </c>
      <c r="B157" s="2" t="str">
        <f>=HYPERLINK("https://pan.quark.cn/s/a2e527595939", "https://pan.quark.cn/s/a2e527595939")</f>
        <v>https://pan.quark.cn/s/a2e527595939</v>
      </c>
      <c r="C157" t="inlineStr">
        <is>
          <t>876.4M</t>
        </is>
      </c>
      <c r="D157" t="inlineStr">
        <is>
          <t>/电子表格/技能入门/办公技巧/白领/考研/考公/考证党</t>
        </is>
      </c>
      <c r="E157" t="inlineStr">
        <is>
          <t>https://dcn8qexvg13r.feishu.cn/share/base/query/shrcnMqxwwRkV3NUIUxPeab3sec</t>
        </is>
      </c>
      <c r="F157" t="inlineStr">
        <is>
          <t>请添加微信：k846211</t>
        </is>
      </c>
      <c r="G157" t="inlineStr">
        <is>
          <t>2025-11-09</t>
        </is>
      </c>
    </row>
    <row r="158" ht="25.5" customHeight="1">
      <c r="A158" t="inlineStr">
        <is>
          <t>B站精品课《偏见看政治：李筠教授的政治学课》</t>
        </is>
      </c>
      <c r="B158" s="2" t="str">
        <f>=HYPERLINK("https://pan.quark.cn/s/1b8bc276bba8", "https://pan.quark.cn/s/1b8bc276bba8")</f>
        <v>https://pan.quark.cn/s/1b8bc276bba8</v>
      </c>
      <c r="C158" t="inlineStr">
        <is>
          <t>3.2G</t>
        </is>
      </c>
      <c r="D158" t="inlineStr">
        <is>
          <t>/政治学/精品课/李筠/考研/考公/考证党/大学生</t>
        </is>
      </c>
      <c r="E158" t="inlineStr">
        <is>
          <t>https://dcn8qexvg13r.feishu.cn/share/base/query/shrcnMqxwwRkV3NUIUxPeab3sec</t>
        </is>
      </c>
      <c r="F158" t="inlineStr">
        <is>
          <t>请添加微信：k846211</t>
        </is>
      </c>
      <c r="G158" t="inlineStr">
        <is>
          <t>2025-11-09</t>
        </is>
      </c>
    </row>
    <row r="159" ht="25.5" customHeight="1">
      <c r="A159" t="inlineStr">
        <is>
          <t>沪江网校《新概念英语课程 (1-4册) 》</t>
        </is>
      </c>
      <c r="B159" s="2" t="str">
        <f>=HYPERLINK("https://pan.quark.cn/s/a62b8be200d7", "https://pan.quark.cn/s/a62b8be200d7")</f>
        <v>https://pan.quark.cn/s/a62b8be200d7</v>
      </c>
      <c r="C159" t="inlineStr">
        <is>
          <t>17.1G</t>
        </is>
      </c>
      <c r="D159" t="inlineStr">
        <is>
          <t>/新概念英语/英语课程/语言学习/沪江网校/语言</t>
        </is>
      </c>
      <c r="E159" t="inlineStr">
        <is>
          <t>https://dcn8qexvg13r.feishu.cn/share/base/query/shrcnMqxwwRkV3NUIUxPeab3sec</t>
        </is>
      </c>
      <c r="F159" t="inlineStr">
        <is>
          <t>请添加微信：k846211</t>
        </is>
      </c>
      <c r="G159" t="inlineStr">
        <is>
          <t>2025-11-09</t>
        </is>
      </c>
    </row>
    <row r="160" ht="25.5" customHeight="1">
      <c r="A160" t="inlineStr">
        <is>
          <t>2024中级社工【VIP基础同步班】</t>
        </is>
      </c>
      <c r="B160" s="2" t="str">
        <f>=HYPERLINK("https://pan.quark.cn/s/b8887ffa58fe", "https://pan.quark.cn/s/b8887ffa58fe")</f>
        <v>https://pan.quark.cn/s/b8887ffa58fe</v>
      </c>
      <c r="C160" t="inlineStr">
        <is>
          <t>61.9G</t>
        </is>
      </c>
      <c r="D160" t="inlineStr">
        <is>
          <t>/中级社工/基础同步班/VIP/考公/考证党</t>
        </is>
      </c>
      <c r="E160" t="inlineStr">
        <is>
          <t>https://dcn8qexvg13r.feishu.cn/share/base/query/shrcnMqxwwRkV3NUIUxPeab3sec</t>
        </is>
      </c>
      <c r="F160" t="inlineStr">
        <is>
          <t>请添加微信：k846211</t>
        </is>
      </c>
      <c r="G160" t="inlineStr">
        <is>
          <t>2025-11-09</t>
        </is>
      </c>
    </row>
    <row r="161" ht="25.5" customHeight="1">
      <c r="A161" t="inlineStr">
        <is>
          <t>12堂教你学唱歌，让你秒变歌神</t>
        </is>
      </c>
      <c r="B161" s="2" t="str">
        <f>=HYPERLINK("https://pan.quark.cn/s/eb6623826b87", "https://pan.quark.cn/s/eb6623826b87")</f>
        <v>https://pan.quark.cn/s/eb6623826b87</v>
      </c>
      <c r="C161" t="inlineStr">
        <is>
          <t>4.4G</t>
        </is>
      </c>
      <c r="D161" t="inlineStr">
        <is>
          <t>/唱歌/课程/歌神/技能入门/音乐迷/技能入门</t>
        </is>
      </c>
      <c r="E161" t="inlineStr">
        <is>
          <t>https://dcn8qexvg13r.feishu.cn/share/base/query/shrcnMqxwwRkV3NUIUxPeab3sec</t>
        </is>
      </c>
      <c r="F161" t="inlineStr">
        <is>
          <t>请添加微信：k846211</t>
        </is>
      </c>
      <c r="G161" t="inlineStr">
        <is>
          <t>2025-11-09</t>
        </is>
      </c>
    </row>
    <row r="162" ht="25.5" customHeight="1">
      <c r="A162" t="inlineStr">
        <is>
          <t>斗半匠《小学英语一本通 (语法+自然拼读+句式) 》</t>
        </is>
      </c>
      <c r="B162" s="2" t="str">
        <f>=HYPERLINK("https://pan.quark.cn/s/35f31a7b0847", "https://pan.quark.cn/s/35f31a7b0847")</f>
        <v>https://pan.quark.cn/s/35f31a7b0847</v>
      </c>
      <c r="C162" t="inlineStr">
        <is>
          <t>601.5M</t>
        </is>
      </c>
      <c r="D162" t="inlineStr">
        <is>
          <t>小学英语/语法/自然拼读/句式/学龄儿童家长/K12</t>
        </is>
      </c>
      <c r="E162" t="inlineStr">
        <is>
          <t>https://dcn8qexvg13r.feishu.cn/share/base/query/shrcnMqxwwRkV3NUIUxPeab3sec</t>
        </is>
      </c>
      <c r="F162" t="inlineStr">
        <is>
          <t>请添加微信：k846211</t>
        </is>
      </c>
      <c r="G162" t="inlineStr">
        <is>
          <t>2025-11-09</t>
        </is>
      </c>
    </row>
    <row r="163" ht="25.5" customHeight="1">
      <c r="A163" t="inlineStr">
        <is>
          <t>【恋爱婚姻实用学习教程合集】</t>
        </is>
      </c>
      <c r="B163" s="2" t="str">
        <f>=HYPERLINK("https://pan.quark.cn/s/50ef1938ca60", "https://pan.quark.cn/s/50ef1938ca60")</f>
        <v>https://pan.quark.cn/s/50ef1938ca60</v>
      </c>
      <c r="C163" t="inlineStr">
        <is>
          <t>23.3G</t>
        </is>
      </c>
      <c r="D163" t="inlineStr">
        <is>
          <t>/恋爱/婚姻/实用学习/教程/白领/宝妈/家长群体</t>
        </is>
      </c>
      <c r="E163" t="inlineStr">
        <is>
          <t>https://dcn8qexvg13r.feishu.cn/share/base/query/shrcnMqxwwRkV3NUIUxPeab3sec</t>
        </is>
      </c>
      <c r="F163" t="inlineStr">
        <is>
          <t>请添加微信：k846211</t>
        </is>
      </c>
      <c r="G163" t="inlineStr">
        <is>
          <t>2025-11-09</t>
        </is>
      </c>
    </row>
    <row r="164" ht="25.5" customHeight="1">
      <c r="A164" t="inlineStr">
        <is>
          <t>零基础手把手教你搭建助眠直播间，月入过W，可矩阵操作放大收益</t>
        </is>
      </c>
      <c r="B164" s="2" t="str">
        <f>=HYPERLINK("https://pan.quark.cn/s/a3926a654819", "https://pan.quark.cn/s/a3926a654819")</f>
        <v>https://pan.quark.cn/s/a3926a654819</v>
      </c>
      <c r="C164" t="inlineStr">
        <is>
          <t>122.6M</t>
        </is>
      </c>
      <c r="D164" t="inlineStr">
        <is>
          <t>/助眠直播间/搭建教程/零基础/月入过万/矩阵操作/宝妈/家长群体/其他</t>
        </is>
      </c>
      <c r="E164" t="inlineStr">
        <is>
          <t>https://dcn8qexvg13r.feishu.cn/share/base/query/shrcnMqxwwRkV3NUIUxPeab3sec</t>
        </is>
      </c>
      <c r="F164" t="inlineStr">
        <is>
          <t>请添加微信：k846211</t>
        </is>
      </c>
      <c r="G164" t="inlineStr">
        <is>
          <t>2025-11-09</t>
        </is>
      </c>
    </row>
    <row r="165" ht="25.5" customHeight="1">
      <c r="A165" t="inlineStr">
        <is>
          <t>[十点课堂] 超级作文课，让孩子轻松搞定写作</t>
        </is>
      </c>
      <c r="B165" s="2" t="str">
        <f>=HYPERLINK("https://pan.quark.cn/s/4b0297717a8d", "https://pan.quark.cn/s/4b0297717a8d")</f>
        <v>https://pan.quark.cn/s/4b0297717a8d</v>
      </c>
      <c r="C165" t="inlineStr">
        <is>
          <t>1.6G</t>
        </is>
      </c>
      <c r="D165" t="inlineStr">
        <is>
          <t>/作文/十点课堂/写作技巧/轻松写作/学龄儿童家长/K12</t>
        </is>
      </c>
      <c r="E165" t="inlineStr">
        <is>
          <t>https://dcn8qexvg13r.feishu.cn/share/base/query/shrcnMqxwwRkV3NUIUxPeab3sec</t>
        </is>
      </c>
      <c r="F165" t="inlineStr">
        <is>
          <t>请添加微信：k846211</t>
        </is>
      </c>
      <c r="G165" t="inlineStr">
        <is>
          <t>2025-11-09</t>
        </is>
      </c>
    </row>
    <row r="166" ht="25.5" customHeight="1">
      <c r="A166" t="inlineStr">
        <is>
          <t>百年孤独</t>
        </is>
      </c>
      <c r="B166" s="2" t="str">
        <f>=HYPERLINK("https://pan.quark.cn/s/605ee3576ac0", "https://pan.quark.cn/s/605ee3576ac0")</f>
        <v>https://pan.quark.cn/s/605ee3576ac0</v>
      </c>
      <c r="C166" t="inlineStr">
        <is>
          <t>21.6G</t>
        </is>
      </c>
      <c r="D166" t="inlineStr">
        <is>
          <t>/魔幻现实主义/小说/文学经典/大学生/其他</t>
        </is>
      </c>
      <c r="E166" t="inlineStr">
        <is>
          <t>https://dcn8qexvg13r.feishu.cn/share/base/query/shrcnMqxwwRkV3NUIUxPeab3sec</t>
        </is>
      </c>
      <c r="F166" t="inlineStr">
        <is>
          <t>请添加微信：k846211</t>
        </is>
      </c>
      <c r="G166" t="inlineStr">
        <is>
          <t>2025-11-09</t>
        </is>
      </c>
    </row>
    <row r="167" ht="25.5" customHeight="1">
      <c r="A167" t="inlineStr">
        <is>
          <t>三字经精华故事（全）</t>
        </is>
      </c>
      <c r="B167" s="2" t="str">
        <f>=HYPERLINK("https://pan.quark.cn/s/f308a3efc1ec", "https://pan.quark.cn/s/f308a3efc1ec")</f>
        <v>https://pan.quark.cn/s/f308a3efc1ec</v>
      </c>
      <c r="C167" t="inlineStr">
        <is>
          <t>1.5G</t>
        </is>
      </c>
      <c r="D167" t="inlineStr">
        <is>
          <t>/三字经/故事/传统文化/启蒙教育/学龄儿童家长/K12</t>
        </is>
      </c>
      <c r="E167" t="inlineStr">
        <is>
          <t>https://dcn8qexvg13r.feishu.cn/share/base/query/shrcnMqxwwRkV3NUIUxPeab3sec</t>
        </is>
      </c>
      <c r="F167" t="inlineStr">
        <is>
          <t>请添加微信：k846211</t>
        </is>
      </c>
      <c r="G167" t="inlineStr">
        <is>
          <t>2025-11-09</t>
        </is>
      </c>
    </row>
    <row r="168" ht="25.5" customHeight="1">
      <c r="A168" t="inlineStr">
        <is>
          <t>陈心老师《小学语文满分作文课》</t>
        </is>
      </c>
      <c r="B168" s="2" t="str">
        <f>=HYPERLINK("https://pan.quark.cn/s/1aec12149b88", "https://pan.quark.cn/s/1aec12149b88")</f>
        <v>https://pan.quark.cn/s/1aec12149b88</v>
      </c>
      <c r="C168" t="inlineStr">
        <is>
          <t>84.6G</t>
        </is>
      </c>
      <c r="D168" t="inlineStr">
        <is>
          <t>/小学语文/满分作文/作文课/课程/K12/学龄儿童家长</t>
        </is>
      </c>
      <c r="E168" t="inlineStr">
        <is>
          <t>https://dcn8qexvg13r.feishu.cn/share/base/query/shrcnMqxwwRkV3NUIUxPeab3sec</t>
        </is>
      </c>
      <c r="F168" t="inlineStr">
        <is>
          <t>请添加微信：k846211</t>
        </is>
      </c>
      <c r="G168" t="inlineStr">
        <is>
          <t>2025-11-09</t>
        </is>
      </c>
    </row>
    <row r="169" ht="25.5" customHeight="1">
      <c r="A169" t="inlineStr">
        <is>
          <t>钢琴成人零基础50节速成视频课</t>
        </is>
      </c>
      <c r="B169" s="2" t="str">
        <f>=HYPERLINK("https://pan.quark.cn/s/ce64e16442d9", "https://pan.quark.cn/s/ce64e16442d9")</f>
        <v>https://pan.quark.cn/s/ce64e16442d9</v>
      </c>
      <c r="C169" t="inlineStr">
        <is>
          <t>3.2G</t>
        </is>
      </c>
      <c r="D169" t="inlineStr">
        <is>
          <t>/钢琴/成人零基础/速成/视频课/乐器/技能入门</t>
        </is>
      </c>
      <c r="E169" t="inlineStr">
        <is>
          <t>https://dcn8qexvg13r.feishu.cn/share/base/query/shrcnMqxwwRkV3NUIUxPeab3sec</t>
        </is>
      </c>
      <c r="F169" t="inlineStr">
        <is>
          <t>请添加微信：k846211</t>
        </is>
      </c>
      <c r="G169" t="inlineStr">
        <is>
          <t>2025-11-09</t>
        </is>
      </c>
    </row>
    <row r="170" ht="25.5" customHeight="1">
      <c r="A170" t="inlineStr">
        <is>
          <t>道德经妙解-郭永进（64讲）</t>
        </is>
      </c>
      <c r="B170" s="2" t="str">
        <f>=HYPERLINK("https://pan.quark.cn/s/4f6dc35fdc17", "https://pan.quark.cn/s/4f6dc35fdc17")</f>
        <v>https://pan.quark.cn/s/4f6dc35fdc17</v>
      </c>
      <c r="C170" t="inlineStr">
        <is>
          <t>25.5G</t>
        </is>
      </c>
      <c r="D170" t="inlineStr">
        <is>
          <t>/道德经/郭永进/解读/哲学/64讲/其他</t>
        </is>
      </c>
      <c r="E170" t="inlineStr">
        <is>
          <t>https://dcn8qexvg13r.feishu.cn/share/base/query/shrcnMqxwwRkV3NUIUxPeab3sec</t>
        </is>
      </c>
      <c r="F170" t="inlineStr">
        <is>
          <t>请添加微信：k846211</t>
        </is>
      </c>
      <c r="G170" t="inlineStr">
        <is>
          <t>2025-11-09</t>
        </is>
      </c>
    </row>
    <row r="171" ht="25.5" customHeight="1">
      <c r="A171" t="inlineStr">
        <is>
          <t>高中英语单词思维导图记忆</t>
        </is>
      </c>
      <c r="B171" s="2" t="str">
        <f>=HYPERLINK("https://pan.quark.cn/s/8c9f97b3ecd5", "https://pan.quark.cn/s/8c9f97b3ecd5")</f>
        <v>https://pan.quark.cn/s/8c9f97b3ecd5</v>
      </c>
      <c r="C171" t="inlineStr">
        <is>
          <t>10.5M</t>
        </is>
      </c>
      <c r="D171" t="inlineStr">
        <is>
          <t>/高中英语/单词记忆/思维导图/K12/学龄儿童家长</t>
        </is>
      </c>
      <c r="E171" t="inlineStr">
        <is>
          <t>https://dcn8qexvg13r.feishu.cn/share/base/query/shrcnMqxwwRkV3NUIUxPeab3sec</t>
        </is>
      </c>
      <c r="F171" t="inlineStr">
        <is>
          <t>请添加微信：k846211</t>
        </is>
      </c>
      <c r="G171" t="inlineStr">
        <is>
          <t>2025-11-09</t>
        </is>
      </c>
    </row>
    <row r="172" ht="25.5" customHeight="1">
      <c r="A172" t="inlineStr">
        <is>
          <t>超级个体商业认知觉醒视频课</t>
        </is>
      </c>
      <c r="B172" s="2" t="str">
        <f>=HYPERLINK("https://pan.quark.cn/s/0d7b46d2dd9c", "https://pan.quark.cn/s/0d7b46d2dd9c")</f>
        <v>https://pan.quark.cn/s/0d7b46d2dd9c</v>
      </c>
      <c r="C172" t="inlineStr">
        <is>
          <t>819.3M</t>
        </is>
      </c>
      <c r="D172" t="inlineStr">
        <is>
          <t>/商业认知/视频课/个体成长/认知觉醒/白领/管理者</t>
        </is>
      </c>
      <c r="E172" t="inlineStr">
        <is>
          <t>https://dcn8qexvg13r.feishu.cn/share/base/query/shrcnMqxwwRkV3NUIUxPeab3sec</t>
        </is>
      </c>
      <c r="F172" t="inlineStr">
        <is>
          <t>请添加微信：k846211</t>
        </is>
      </c>
      <c r="G172" t="inlineStr">
        <is>
          <t>2025-11-09</t>
        </is>
      </c>
    </row>
    <row r="173" ht="25.5" customHeight="1">
      <c r="A173" t="inlineStr">
        <is>
          <t>飞猫星球《RAZ外教精读思维课》</t>
        </is>
      </c>
      <c r="B173" s="2" t="str">
        <f>=HYPERLINK("https://pan.quark.cn/s/046adca9b4ac", "https://pan.quark.cn/s/046adca9b4ac")</f>
        <v>https://pan.quark.cn/s/046adca9b4ac</v>
      </c>
      <c r="C173" t="inlineStr">
        <is>
          <t>29.5G</t>
        </is>
      </c>
      <c r="D173" t="inlineStr">
        <is>
          <t>/RAZ/外教精读/思维训练/英语学习/学龄儿童家长/K12</t>
        </is>
      </c>
      <c r="E173" t="inlineStr">
        <is>
          <t>https://dcn8qexvg13r.feishu.cn/share/base/query/shrcnMqxwwRkV3NUIUxPeab3sec</t>
        </is>
      </c>
      <c r="F173" t="inlineStr">
        <is>
          <t>请添加微信：k846211</t>
        </is>
      </c>
      <c r="G173" t="inlineStr">
        <is>
          <t>2025-11-09</t>
        </is>
      </c>
    </row>
    <row r="174" ht="25.5" customHeight="1">
      <c r="A174" t="inlineStr">
        <is>
          <t>B站董北《达芬奇实战剪辑入门课》</t>
        </is>
      </c>
      <c r="B174" s="2" t="str">
        <f>=HYPERLINK("https://pan.quark.cn/s/09c631f7d5e4", "https://pan.quark.cn/s/09c631f7d5e4")</f>
        <v>https://pan.quark.cn/s/09c631f7d5e4</v>
      </c>
      <c r="C174" t="inlineStr">
        <is>
          <t>4.6G</t>
        </is>
      </c>
      <c r="D174" t="inlineStr">
        <is>
          <t>/B站/达芬奇/剪辑/入门课/技能入门/特定行业从业者</t>
        </is>
      </c>
      <c r="E174" t="inlineStr">
        <is>
          <t>https://dcn8qexvg13r.feishu.cn/share/base/query/shrcnMqxwwRkV3NUIUxPeab3sec</t>
        </is>
      </c>
      <c r="F174" t="inlineStr">
        <is>
          <t>请添加微信：k846211</t>
        </is>
      </c>
      <c r="G174" t="inlineStr">
        <is>
          <t>2025-11-09</t>
        </is>
      </c>
    </row>
    <row r="175" ht="25.5" customHeight="1">
      <c r="A175" t="inlineStr">
        <is>
          <t>2025《衡中学案》高考一轮总复习 数学</t>
        </is>
      </c>
      <c r="B175" s="2" t="str">
        <f>=HYPERLINK("https://pan.quark.cn/s/51a57d646e60", "https://pan.quark.cn/s/51a57d646e60")</f>
        <v>https://pan.quark.cn/s/51a57d646e60</v>
      </c>
      <c r="C175" t="inlineStr">
        <is>
          <t>516.3M</t>
        </is>
      </c>
      <c r="D175" t="inlineStr">
        <is>
          <t>/数学/高考一轮复习/衡中学案/总复习/K12/学龄儿童家长</t>
        </is>
      </c>
      <c r="E175" t="inlineStr">
        <is>
          <t>https://dcn8qexvg13r.feishu.cn/share/base/query/shrcnMqxwwRkV3NUIUxPeab3sec</t>
        </is>
      </c>
      <c r="F175" t="inlineStr">
        <is>
          <t>请添加微信：k846211</t>
        </is>
      </c>
      <c r="G175" t="inlineStr">
        <is>
          <t>2025-11-09</t>
        </is>
      </c>
    </row>
    <row r="176" ht="25.5" customHeight="1">
      <c r="A176" t="inlineStr">
        <is>
          <t>故事便利店【完结】</t>
        </is>
      </c>
      <c r="B176" s="2" t="str">
        <f>=HYPERLINK("https://pan.quark.cn/s/473e15c708cf", "https://pan.quark.cn/s/473e15c708cf")</f>
        <v>https://pan.quark.cn/s/473e15c708cf</v>
      </c>
      <c r="C176" t="inlineStr">
        <is>
          <t>2.4G</t>
        </is>
      </c>
      <c r="D176" t="inlineStr">
        <is>
          <t>/故事/便利店/生活/完结/其他</t>
        </is>
      </c>
      <c r="E176" t="inlineStr">
        <is>
          <t>https://dcn8qexvg13r.feishu.cn/share/base/query/shrcnMqxwwRkV3NUIUxPeab3sec</t>
        </is>
      </c>
      <c r="F176" t="inlineStr">
        <is>
          <t>请添加微信：k846211</t>
        </is>
      </c>
      <c r="G176" t="inlineStr">
        <is>
          <t>2025-11-09</t>
        </is>
      </c>
    </row>
    <row r="177" ht="25.5" customHeight="1">
      <c r="A177" t="inlineStr">
        <is>
          <t>被低估的王朝：隋朝改革的成与败</t>
        </is>
      </c>
      <c r="B177" s="2" t="str">
        <f>=HYPERLINK("https://pan.quark.cn/s/9ae5212d9546", "https://pan.quark.cn/s/9ae5212d9546")</f>
        <v>https://pan.quark.cn/s/9ae5212d9546</v>
      </c>
      <c r="C177" t="inlineStr">
        <is>
          <t>3G</t>
        </is>
      </c>
      <c r="D177" t="inlineStr">
        <is>
          <t>/隋朝/改革/历史研究/王朝兴衰/大学生/考研/考公/考证党</t>
        </is>
      </c>
      <c r="E177" t="inlineStr">
        <is>
          <t>https://dcn8qexvg13r.feishu.cn/share/base/query/shrcnMqxwwRkV3NUIUxPeab3sec</t>
        </is>
      </c>
      <c r="F177" t="inlineStr">
        <is>
          <t>请添加微信：k846211</t>
        </is>
      </c>
      <c r="G177" t="inlineStr">
        <is>
          <t>2025-11-09</t>
        </is>
      </c>
    </row>
    <row r="178" ht="25.5" customHeight="1">
      <c r="A178" t="inlineStr">
        <is>
          <t>588套销售话术</t>
        </is>
      </c>
      <c r="B178" s="2" t="str">
        <f>=HYPERLINK("https://pan.quark.cn/s/734ebd1894b3", "https://pan.quark.cn/s/734ebd1894b3")</f>
        <v>https://pan.quark.cn/s/734ebd1894b3</v>
      </c>
      <c r="C178" t="inlineStr">
        <is>
          <t>592.4M</t>
        </is>
      </c>
      <c r="D178" t="inlineStr">
        <is>
          <t>/销售话术/销售技巧/沟通策略/话术模板/白领/特定行业从业者</t>
        </is>
      </c>
      <c r="E178" t="inlineStr">
        <is>
          <t>https://dcn8qexvg13r.feishu.cn/share/base/query/shrcnMqxwwRkV3NUIUxPeab3sec</t>
        </is>
      </c>
      <c r="F178" t="inlineStr">
        <is>
          <t>请添加微信：k846211</t>
        </is>
      </c>
      <c r="G178" t="inlineStr">
        <is>
          <t>2025-11-09</t>
        </is>
      </c>
    </row>
    <row r="179" ht="25.5" customHeight="1">
      <c r="A179" t="inlineStr">
        <is>
          <t>艾力老师《原力英语课程合集》</t>
        </is>
      </c>
      <c r="B179" s="2" t="str">
        <f>=HYPERLINK("https://pan.quark.cn/s/e5f3275c9988", "https://pan.quark.cn/s/e5f3275c9988")</f>
        <v>https://pan.quark.cn/s/e5f3275c9988</v>
      </c>
      <c r="C179" t="inlineStr">
        <is>
          <t>281.1G</t>
        </is>
      </c>
      <c r="D179" t="inlineStr">
        <is>
          <t>/英语学习/艾力老师/课程/语言/大学生/语言</t>
        </is>
      </c>
      <c r="E179" t="inlineStr">
        <is>
          <t>https://dcn8qexvg13r.feishu.cn/share/base/query/shrcnMqxwwRkV3NUIUxPeab3sec</t>
        </is>
      </c>
      <c r="F179" t="inlineStr">
        <is>
          <t>请添加微信：k846211</t>
        </is>
      </c>
      <c r="G179" t="inlineStr">
        <is>
          <t>2025-11-09</t>
        </is>
      </c>
    </row>
    <row r="180" ht="25.5" customHeight="1">
      <c r="A180" t="inlineStr">
        <is>
          <t>常用笔记模板 (可打印)</t>
        </is>
      </c>
      <c r="B180" s="2" t="str">
        <f>=HYPERLINK("https://pan.quark.cn/s/924c10373b0a", "https://pan.quark.cn/s/924c10373b0a")</f>
        <v>https://pan.quark.cn/s/924c10373b0a</v>
      </c>
      <c r="C180" t="inlineStr">
        <is>
          <t>56.5M</t>
        </is>
      </c>
      <c r="D180" t="inlineStr">
        <is>
          <t>/笔记模板/可打印/效率工具/大学生/白领</t>
        </is>
      </c>
      <c r="E180" t="inlineStr">
        <is>
          <t>https://dcn8qexvg13r.feishu.cn/share/base/query/shrcnMqxwwRkV3NUIUxPeab3sec</t>
        </is>
      </c>
      <c r="F180" t="inlineStr">
        <is>
          <t>请添加微信：k846211</t>
        </is>
      </c>
      <c r="G180" t="inlineStr">
        <is>
          <t>2025-11-09</t>
        </is>
      </c>
    </row>
    <row r="181" ht="25.5" customHeight="1">
      <c r="A181" t="inlineStr">
        <is>
          <t>表情包日入1500+项目实操教学</t>
        </is>
      </c>
      <c r="B181" s="2" t="str">
        <f>=HYPERLINK("https://pan.quark.cn/s/6893abaa74e1", "https://pan.quark.cn/s/6893abaa74e1")</f>
        <v>https://pan.quark.cn/s/6893abaa74e1</v>
      </c>
      <c r="C181" t="inlineStr">
        <is>
          <t>15.6G</t>
        </is>
      </c>
      <c r="D181" t="inlineStr">
        <is>
          <t>/表情包/项目实操/日入1500+/教学/特定行业从业者/技能入门</t>
        </is>
      </c>
      <c r="E181" t="inlineStr">
        <is>
          <t>https://dcn8qexvg13r.feishu.cn/share/base/query/shrcnMqxwwRkV3NUIUxPeab3sec</t>
        </is>
      </c>
      <c r="F181" t="inlineStr">
        <is>
          <t>请添加微信：k846211</t>
        </is>
      </c>
      <c r="G181" t="inlineStr">
        <is>
          <t>2025-11-09</t>
        </is>
      </c>
    </row>
    <row r="182" ht="25.5" customHeight="1">
      <c r="A182" t="inlineStr">
        <is>
          <t>高考英语3500词视频（不背单词版）正序版+乱序版</t>
        </is>
      </c>
      <c r="B182" s="2" t="str">
        <f>=HYPERLINK("https://pan.quark.cn/s/ff1e147d8af7", "https://pan.quark.cn/s/ff1e147d8af7")</f>
        <v>https://pan.quark.cn/s/ff1e147d8af7</v>
      </c>
      <c r="C182" t="inlineStr">
        <is>
          <t>16.2G</t>
        </is>
      </c>
      <c r="D182" t="inlineStr">
        <is>
          <t>/高考英语/3500词/视频/正序版/乱序版/K12/语言</t>
        </is>
      </c>
      <c r="E182" t="inlineStr">
        <is>
          <t>https://dcn8qexvg13r.feishu.cn/share/base/query/shrcnMqxwwRkV3NUIUxPeab3sec</t>
        </is>
      </c>
      <c r="F182" t="inlineStr">
        <is>
          <t>请添加微信：k846211</t>
        </is>
      </c>
      <c r="G182" t="inlineStr">
        <is>
          <t>2025-11-09</t>
        </is>
      </c>
    </row>
    <row r="183" ht="25.5" customHeight="1">
      <c r="A183" t="inlineStr">
        <is>
          <t>阿欣《PPT零基础到高手》</t>
        </is>
      </c>
      <c r="B183" s="2" t="str">
        <f>=HYPERLINK("https://pan.quark.cn/s/0fa173591250", "https://pan.quark.cn/s/0fa173591250")</f>
        <v>https://pan.quark.cn/s/0fa173591250</v>
      </c>
      <c r="C183" t="inlineStr">
        <is>
          <t>1.2G</t>
        </is>
      </c>
      <c r="D183" t="inlineStr">
        <is>
          <t>/PPT/零基础/技能提升/白领/大学生</t>
        </is>
      </c>
      <c r="E183" t="inlineStr">
        <is>
          <t>https://dcn8qexvg13r.feishu.cn/share/base/query/shrcnMqxwwRkV3NUIUxPeab3sec</t>
        </is>
      </c>
      <c r="F183" t="inlineStr">
        <is>
          <t>请添加微信：k846211</t>
        </is>
      </c>
      <c r="G183" t="inlineStr">
        <is>
          <t>2025-11-09</t>
        </is>
      </c>
    </row>
    <row r="184" ht="25.5" customHeight="1">
      <c r="A184" t="inlineStr">
        <is>
          <t>《思维导图完整手册》零基础快速掌握思维导图</t>
        </is>
      </c>
      <c r="B184" s="2" t="str">
        <f>=HYPERLINK("https://pan.quark.cn/s/2abf63a78c27", "https://pan.quark.cn/s/2abf63a78c27")</f>
        <v>https://pan.quark.cn/s/2abf63a78c27</v>
      </c>
      <c r="C184" t="inlineStr">
        <is>
          <t>93.7M</t>
        </is>
      </c>
      <c r="D184" t="inlineStr">
        <is>
          <t>/思维导图/完整手册/零基础/快速掌握/大学生/技能入门</t>
        </is>
      </c>
      <c r="E184" t="inlineStr">
        <is>
          <t>https://dcn8qexvg13r.feishu.cn/share/base/query/shrcnMqxwwRkV3NUIUxPeab3sec</t>
        </is>
      </c>
      <c r="F184" t="inlineStr">
        <is>
          <t>请添加微信：k846211</t>
        </is>
      </c>
      <c r="G184" t="inlineStr">
        <is>
          <t>2025-11-09</t>
        </is>
      </c>
    </row>
    <row r="185" ht="25.5" customHeight="1">
      <c r="A185" t="inlineStr">
        <is>
          <t>Midjourney AI：从零基础到高级版的大师班教程 (中英字幕)</t>
        </is>
      </c>
      <c r="B185" s="2" t="str">
        <f>=HYPERLINK("https://pan.quark.cn/s/7d9aa7c441e4", "https://pan.quark.cn/s/7d9aa7c441e4")</f>
        <v>https://pan.quark.cn/s/7d9aa7c441e4</v>
      </c>
      <c r="C185" t="inlineStr">
        <is>
          <t>2.5G</t>
        </is>
      </c>
      <c r="D185" t="inlineStr">
        <is>
          <t>/Midjourney AI/大师班教程/中英字幕/技能入门/特定行业从业者</t>
        </is>
      </c>
      <c r="E185" t="inlineStr">
        <is>
          <t>https://dcn8qexvg13r.feishu.cn/share/base/query/shrcnMqxwwRkV3NUIUxPeab3sec</t>
        </is>
      </c>
      <c r="F185" t="inlineStr">
        <is>
          <t>请添加微信：k846211</t>
        </is>
      </c>
      <c r="G185" t="inlineStr">
        <is>
          <t>2025-11-09</t>
        </is>
      </c>
    </row>
    <row r="186" ht="25.5" customHeight="1">
      <c r="A186" t="inlineStr">
        <is>
          <t>B站 - 一门给年轻人的恋爱成长课</t>
        </is>
      </c>
      <c r="B186" s="2" t="str">
        <f>=HYPERLINK("https://pan.quark.cn/s/7c7e4ca3e03a", "https://pan.quark.cn/s/7c7e4ca3e03a")</f>
        <v>https://pan.quark.cn/s/7c7e4ca3e03a</v>
      </c>
      <c r="C186" t="inlineStr">
        <is>
          <t>7.7G</t>
        </is>
      </c>
      <c r="D186" t="inlineStr">
        <is>
          <t>/恋爱/成长课/情感教育/大学生/其他</t>
        </is>
      </c>
      <c r="E186" t="inlineStr">
        <is>
          <t>https://dcn8qexvg13r.feishu.cn/share/base/query/shrcnMqxwwRkV3NUIUxPeab3sec</t>
        </is>
      </c>
      <c r="F186" t="inlineStr">
        <is>
          <t>请添加微信：k846211</t>
        </is>
      </c>
      <c r="G186" t="inlineStr">
        <is>
          <t>2025-11-09</t>
        </is>
      </c>
    </row>
    <row r="187" ht="25.5" customHeight="1">
      <c r="A187" t="inlineStr">
        <is>
          <t>11大维度搭建基础电商运营</t>
        </is>
      </c>
      <c r="B187" s="2" t="str">
        <f>=HYPERLINK("https://pan.quark.cn/s/44502769247f", "https://pan.quark.cn/s/44502769247f")</f>
        <v>https://pan.quark.cn/s/44502769247f</v>
      </c>
      <c r="C187" t="inlineStr">
        <is>
          <t>1.5G</t>
        </is>
      </c>
      <c r="D187" t="inlineStr">
        <is>
          <t>/电商运营/基础搭建/11大维度/运营体系/特定行业从业者/管理者</t>
        </is>
      </c>
      <c r="E187" t="inlineStr">
        <is>
          <t>https://dcn8qexvg13r.feishu.cn/share/base/query/shrcnMqxwwRkV3NUIUxPeab3sec</t>
        </is>
      </c>
      <c r="F187" t="inlineStr">
        <is>
          <t>请添加微信：k846211</t>
        </is>
      </c>
      <c r="G187" t="inlineStr">
        <is>
          <t>2025-11-09</t>
        </is>
      </c>
    </row>
    <row r="188" ht="25.5" customHeight="1">
      <c r="A188" t="inlineStr">
        <is>
          <t>短视频制作素材——开车视角</t>
        </is>
      </c>
      <c r="B188" s="2" t="str">
        <f>=HYPERLINK("https://pan.quark.cn/s/558d02df8239", "https://pan.quark.cn/s/558d02df8239")</f>
        <v>https://pan.quark.cn/s/558d02df8239</v>
      </c>
      <c r="C188" t="inlineStr">
        <is>
          <t>38.3G</t>
        </is>
      </c>
      <c r="D188" t="inlineStr">
        <is>
          <t>/开车视角/短视频素材/视觉素材/特定行业从业者/设计素材</t>
        </is>
      </c>
      <c r="E188" t="inlineStr">
        <is>
          <t>https://dcn8qexvg13r.feishu.cn/share/base/query/shrcnMqxwwRkV3NUIUxPeab3sec</t>
        </is>
      </c>
      <c r="F188" t="inlineStr">
        <is>
          <t>请添加微信：k846211</t>
        </is>
      </c>
      <c r="G188" t="inlineStr">
        <is>
          <t>2025-11-09</t>
        </is>
      </c>
    </row>
    <row r="189" ht="25.5" customHeight="1">
      <c r="A189" t="inlineStr">
        <is>
          <t>付费版电影解说稿 800份</t>
        </is>
      </c>
      <c r="B189" s="2" t="str">
        <f>=HYPERLINK("https://pan.quark.cn/s/4d85e41bcdaf", "https://pan.quark.cn/s/4d85e41bcdaf")</f>
        <v>https://pan.quark.cn/s/4d85e41bcdaf</v>
      </c>
      <c r="C189" t="inlineStr">
        <is>
          <t>24.3M</t>
        </is>
      </c>
      <c r="D189" t="inlineStr">
        <is>
          <t>/电影/解说稿/付费内容/影视创作/电影</t>
        </is>
      </c>
      <c r="E189" t="inlineStr">
        <is>
          <t>https://dcn8qexvg13r.feishu.cn/share/base/query/shrcnMqxwwRkV3NUIUxPeab3sec</t>
        </is>
      </c>
      <c r="F189" t="inlineStr">
        <is>
          <t>请添加微信：k846211</t>
        </is>
      </c>
      <c r="G189" t="inlineStr">
        <is>
          <t>2025-11-09</t>
        </is>
      </c>
    </row>
    <row r="190" ht="25.5" customHeight="1">
      <c r="A190" t="inlineStr">
        <is>
          <t>946套电子字帖</t>
        </is>
      </c>
      <c r="B190" s="2" t="str">
        <f>=HYPERLINK("https://pan.quark.cn/s/2326219f6b61", "https://pan.quark.cn/s/2326219f6b61")</f>
        <v>https://pan.quark.cn/s/2326219f6b61</v>
      </c>
      <c r="C190" t="inlineStr">
        <is>
          <t>3.3G</t>
        </is>
      </c>
      <c r="D190" t="inlineStr">
        <is>
          <t>/电子字帖/书法练习/练字资源/K12/学龄儿童家长</t>
        </is>
      </c>
      <c r="E190" t="inlineStr">
        <is>
          <t>https://dcn8qexvg13r.feishu.cn/share/base/query/shrcnMqxwwRkV3NUIUxPeab3sec</t>
        </is>
      </c>
      <c r="F190" t="inlineStr">
        <is>
          <t>请添加微信：k846211</t>
        </is>
      </c>
      <c r="G190" t="inlineStr">
        <is>
          <t>2025-11-09</t>
        </is>
      </c>
    </row>
    <row r="191" ht="25.5" customHeight="1">
      <c r="A191" t="inlineStr">
        <is>
          <t>陈漫《Studio6商业摄影后期教程》</t>
        </is>
      </c>
      <c r="B191" s="2" t="str">
        <f>=HYPERLINK("https://pan.quark.cn/s/d3199cc463ba", "https://pan.quark.cn/s/d3199cc463ba")</f>
        <v>https://pan.quark.cn/s/d3199cc463ba</v>
      </c>
      <c r="C191" t="inlineStr">
        <is>
          <t>4.1G</t>
        </is>
      </c>
      <c r="D191" t="inlineStr">
        <is>
          <t>/商业摄影/后期教程/摄影后期/Studio6/特定行业从业者/技能入门</t>
        </is>
      </c>
      <c r="E191" t="inlineStr">
        <is>
          <t>https://dcn8qexvg13r.feishu.cn/share/base/query/shrcnMqxwwRkV3NUIUxPeab3sec</t>
        </is>
      </c>
      <c r="F191" t="inlineStr">
        <is>
          <t>请添加微信：k846211</t>
        </is>
      </c>
      <c r="G191" t="inlineStr">
        <is>
          <t>2025-11-09</t>
        </is>
      </c>
    </row>
    <row r="192" ht="25.5" customHeight="1">
      <c r="A192" t="inlineStr">
        <is>
          <t>北大杨立华教授讲庄子哲学（完结）</t>
        </is>
      </c>
      <c r="B192" s="2" t="str">
        <f>=HYPERLINK("https://pan.quark.cn/s/4c2d2607a136", "https://pan.quark.cn/s/4c2d2607a136")</f>
        <v>https://pan.quark.cn/s/4c2d2607a136</v>
      </c>
      <c r="C192" t="inlineStr">
        <is>
          <t>6.3G</t>
        </is>
      </c>
      <c r="D192" t="inlineStr">
        <is>
          <t>/庄子哲学/杨立华/北大/哲学课程/大学生/考研/考公/考证党</t>
        </is>
      </c>
      <c r="E192" t="inlineStr">
        <is>
          <t>https://dcn8qexvg13r.feishu.cn/share/base/query/shrcnMqxwwRkV3NUIUxPeab3sec</t>
        </is>
      </c>
      <c r="F192" t="inlineStr">
        <is>
          <t>请添加微信：k846211</t>
        </is>
      </c>
      <c r="G192" t="inlineStr">
        <is>
          <t>2025-11-09</t>
        </is>
      </c>
    </row>
    <row r="193" ht="25.5" customHeight="1">
      <c r="A193" t="inlineStr">
        <is>
          <t>30多套烧烤炭烤小吃技术全套教程合集</t>
        </is>
      </c>
      <c r="B193" s="2" t="str">
        <f>=HYPERLINK("https://pan.quark.cn/s/1958492506ee", "https://pan.quark.cn/s/1958492506ee")</f>
        <v>https://pan.quark.cn/s/1958492506ee</v>
      </c>
      <c r="C193" t="inlineStr">
        <is>
          <t>56.4G</t>
        </is>
      </c>
      <c r="D193" t="inlineStr">
        <is>
          <t>/烧烤技术/炭烤小吃/教程/特定行业从业者/技能入门</t>
        </is>
      </c>
      <c r="E193" t="inlineStr">
        <is>
          <t>https://dcn8qexvg13r.feishu.cn/share/base/query/shrcnMqxwwRkV3NUIUxPeab3sec</t>
        </is>
      </c>
      <c r="F193" t="inlineStr">
        <is>
          <t>请添加微信：k846211</t>
        </is>
      </c>
      <c r="G193" t="inlineStr">
        <is>
          <t>2025-11-09</t>
        </is>
      </c>
    </row>
    <row r="194" ht="25.5" customHeight="1">
      <c r="A194" t="inlineStr">
        <is>
          <t>超实用商务礼仪15讲（原：植入式商务礼仪）</t>
        </is>
      </c>
      <c r="B194" s="2" t="str">
        <f>=HYPERLINK("https://pan.quark.cn/s/96dec307079e", "https://pan.quark.cn/s/96dec307079e")</f>
        <v>https://pan.quark.cn/s/96dec307079e</v>
      </c>
      <c r="C194" t="inlineStr">
        <is>
          <t>2.8G</t>
        </is>
      </c>
      <c r="D194" t="inlineStr">
        <is>
          <t>/商务礼仪/课程/实用技能/白领/管理者</t>
        </is>
      </c>
      <c r="E194" t="inlineStr">
        <is>
          <t>https://dcn8qexvg13r.feishu.cn/share/base/query/shrcnMqxwwRkV3NUIUxPeab3sec</t>
        </is>
      </c>
      <c r="F194" t="inlineStr">
        <is>
          <t>请添加微信：k846211</t>
        </is>
      </c>
      <c r="G194" t="inlineStr">
        <is>
          <t>2025-11-09</t>
        </is>
      </c>
    </row>
    <row r="195" ht="25.5" customHeight="1">
      <c r="A195" t="inlineStr">
        <is>
          <t>B站 - 职场生存图鉴：拿下令你心动的offer</t>
        </is>
      </c>
      <c r="B195" s="2" t="str">
        <f>=HYPERLINK("https://pan.quark.cn/s/9d54c1401024", "https://pan.quark.cn/s/9d54c1401024")</f>
        <v>https://pan.quark.cn/s/9d54c1401024</v>
      </c>
      <c r="C195" t="inlineStr">
        <is>
          <t>2.9G</t>
        </is>
      </c>
      <c r="D195" t="inlineStr">
        <is>
          <t>/职场/求职/offer/生存指南/大学生/白领</t>
        </is>
      </c>
      <c r="E195" t="inlineStr">
        <is>
          <t>https://dcn8qexvg13r.feishu.cn/share/base/query/shrcnMqxwwRkV3NUIUxPeab3sec</t>
        </is>
      </c>
      <c r="F195" t="inlineStr">
        <is>
          <t>请添加微信：k846211</t>
        </is>
      </c>
      <c r="G195" t="inlineStr">
        <is>
          <t>2025-11-09</t>
        </is>
      </c>
    </row>
    <row r="196" ht="25.5" customHeight="1">
      <c r="A196" t="inlineStr">
        <is>
          <t>风光摄影实战教程 全能篇</t>
        </is>
      </c>
      <c r="B196" s="2" t="str">
        <f>=HYPERLINK("https://pan.quark.cn/s/de279de68d17", "https://pan.quark.cn/s/de279de68d17")</f>
        <v>https://pan.quark.cn/s/de279de68d17</v>
      </c>
      <c r="C196" t="inlineStr">
        <is>
          <t>1.3G</t>
        </is>
      </c>
      <c r="D196" t="inlineStr">
        <is>
          <t>/风光摄影/实战教程/摄影技巧/技能入门/特定行业从业者</t>
        </is>
      </c>
      <c r="E196" t="inlineStr">
        <is>
          <t>https://dcn8qexvg13r.feishu.cn/share/base/query/shrcnMqxwwRkV3NUIUxPeab3sec</t>
        </is>
      </c>
      <c r="F196" t="inlineStr">
        <is>
          <t>请添加微信：k846211</t>
        </is>
      </c>
      <c r="G196" t="inlineStr">
        <is>
          <t>2025-11-09</t>
        </is>
      </c>
    </row>
    <row r="197" ht="25.5" customHeight="1">
      <c r="A197" t="inlineStr">
        <is>
          <t>动漫简笔画动漫教学实战</t>
        </is>
      </c>
      <c r="B197" s="2" t="str">
        <f>=HYPERLINK("https://pan.quark.cn/s/fa99d1749f0c", "https://pan.quark.cn/s/fa99d1749f0c")</f>
        <v>https://pan.quark.cn/s/fa99d1749f0c</v>
      </c>
      <c r="C197" t="inlineStr">
        <is>
          <t>9.6G</t>
        </is>
      </c>
      <c r="D197" t="inlineStr">
        <is>
          <t>/动漫/简笔画/教学/实战/动漫/技能入门</t>
        </is>
      </c>
      <c r="E197" t="inlineStr">
        <is>
          <t>https://dcn8qexvg13r.feishu.cn/share/base/query/shrcnMqxwwRkV3NUIUxPeab3sec</t>
        </is>
      </c>
      <c r="F197" t="inlineStr">
        <is>
          <t>请添加微信：k846211</t>
        </is>
      </c>
      <c r="G197" t="inlineStr">
        <is>
          <t>2025-11-09</t>
        </is>
      </c>
    </row>
    <row r="198" ht="25.5" customHeight="1">
      <c r="A198" t="inlineStr">
        <is>
          <t>简七 从入门到实践 股票训练营（完结）</t>
        </is>
      </c>
      <c r="B198" s="2" t="str">
        <f>=HYPERLINK("https://pan.quark.cn/s/56fcb8c4d581", "https://pan.quark.cn/s/56fcb8c4d581")</f>
        <v>https://pan.quark.cn/s/56fcb8c4d581</v>
      </c>
      <c r="C198" t="inlineStr">
        <is>
          <t>441.8M</t>
        </is>
      </c>
      <c r="D198" t="inlineStr">
        <is>
          <t>/股票/入门到实践/训练营/简七/技能入门/白领</t>
        </is>
      </c>
      <c r="E198" t="inlineStr">
        <is>
          <t>https://dcn8qexvg13r.feishu.cn/share/base/query/shrcnMqxwwRkV3NUIUxPeab3sec</t>
        </is>
      </c>
      <c r="F198" t="inlineStr">
        <is>
          <t>请添加微信：k846211</t>
        </is>
      </c>
      <c r="G198" t="inlineStr">
        <is>
          <t>2025-11-09</t>
        </is>
      </c>
    </row>
    <row r="199" ht="25.5" customHeight="1">
      <c r="A199" t="inlineStr">
        <is>
          <t>2024U盘音乐大合集</t>
        </is>
      </c>
      <c r="B199" s="2" t="str">
        <f>=HYPERLINK("https://pan.quark.cn/s/a3b6d5676221", "https://pan.quark.cn/s/a3b6d5676221")</f>
        <v>https://pan.quark.cn/s/a3b6d5676221</v>
      </c>
      <c r="C199" t="inlineStr">
        <is>
          <t>26.9G</t>
        </is>
      </c>
      <c r="D199" t="inlineStr">
        <is>
          <t>/2024/U盘/音乐/音乐迷</t>
        </is>
      </c>
      <c r="E199" t="inlineStr">
        <is>
          <t>https://dcn8qexvg13r.feishu.cn/share/base/query/shrcnMqxwwRkV3NUIUxPeab3sec</t>
        </is>
      </c>
      <c r="F199" t="inlineStr">
        <is>
          <t>请添加微信：k846211</t>
        </is>
      </c>
      <c r="G199" t="inlineStr">
        <is>
          <t>2025-11-09</t>
        </is>
      </c>
    </row>
    <row r="200" ht="25.5" customHeight="1">
      <c r="A200" t="inlineStr">
        <is>
          <t>初学入门零基础手碟鼓打击乐器</t>
        </is>
      </c>
      <c r="B200" s="2" t="str">
        <f>=HYPERLINK("https://pan.quark.cn/s/82c9b6b78bba", "https://pan.quark.cn/s/82c9b6b78bba")</f>
        <v>https://pan.quark.cn/s/82c9b6b78bba</v>
      </c>
      <c r="C200" t="inlineStr">
        <is>
          <t>2.2G</t>
        </is>
      </c>
      <c r="D200" t="inlineStr">
        <is>
          <t>/手碟鼓/打击乐器/零基础/初学入门/乐器/技能入门</t>
        </is>
      </c>
      <c r="E200" t="inlineStr">
        <is>
          <t>https://dcn8qexvg13r.feishu.cn/share/base/query/shrcnMqxwwRkV3NUIUxPeab3sec</t>
        </is>
      </c>
      <c r="F200" t="inlineStr">
        <is>
          <t>请添加微信：k846211</t>
        </is>
      </c>
      <c r="G200" t="inlineStr">
        <is>
          <t>2025-11-09</t>
        </is>
      </c>
    </row>
    <row r="201" ht="25.5" customHeight="1">
      <c r="A201" t="inlineStr">
        <is>
          <t>宝贝jojo 全5季.</t>
        </is>
      </c>
      <c r="B201" s="2" t="str">
        <f>=HYPERLINK("https://pan.quark.cn/s/2cf0cc86cef4", "https://pan.quark.cn/s/2cf0cc86cef4")</f>
        <v>https://pan.quark.cn/s/2cf0cc86cef4</v>
      </c>
      <c r="C201" t="inlineStr">
        <is>
          <t>10.9G</t>
        </is>
      </c>
      <c r="D201" t="inlineStr">
        <is>
          <t>/宝贝jojo/动画/儿童启蒙/育儿/宝妈/家长群体/育儿</t>
        </is>
      </c>
      <c r="E201" t="inlineStr">
        <is>
          <t>https://dcn8qexvg13r.feishu.cn/share/base/query/shrcnMqxwwRkV3NUIUxPeab3sec</t>
        </is>
      </c>
      <c r="F201" t="inlineStr">
        <is>
          <t>请添加微信：k846211</t>
        </is>
      </c>
      <c r="G201" t="inlineStr">
        <is>
          <t>2025-11-09</t>
        </is>
      </c>
    </row>
    <row r="202" ht="25.5" customHeight="1">
      <c r="A202" t="inlineStr">
        <is>
          <t>短视频极简开悟：从0开始系统化学习短视频技巧</t>
        </is>
      </c>
      <c r="B202" s="2" t="str">
        <f>=HYPERLINK("https://pan.quark.cn/s/830f27999d7a", "https://pan.quark.cn/s/830f27999d7a")</f>
        <v>https://pan.quark.cn/s/830f27999d7a</v>
      </c>
      <c r="C202" t="inlineStr">
        <is>
          <t>512.9M</t>
        </is>
      </c>
      <c r="D202" t="inlineStr">
        <is>
          <t>/短视频/系统化学习/技巧/技能入门/白领/特定行业从业者</t>
        </is>
      </c>
      <c r="E202" t="inlineStr">
        <is>
          <t>https://dcn8qexvg13r.feishu.cn/share/base/query/shrcnMqxwwRkV3NUIUxPeab3sec</t>
        </is>
      </c>
      <c r="F202" t="inlineStr">
        <is>
          <t>请添加微信：k846211</t>
        </is>
      </c>
      <c r="G202" t="inlineStr">
        <is>
          <t>2025-11-09</t>
        </is>
      </c>
    </row>
    <row r="203" ht="25.5" customHeight="1">
      <c r="A203" t="inlineStr">
        <is>
          <t>高中语文作文素材资料合集</t>
        </is>
      </c>
      <c r="B203" s="2" t="str">
        <f>=HYPERLINK("https://pan.quark.cn/s/07d8afffd82d", "https://pan.quark.cn/s/07d8afffd82d")</f>
        <v>https://pan.quark.cn/s/07d8afffd82d</v>
      </c>
      <c r="C203" t="inlineStr">
        <is>
          <t>646.2M</t>
        </is>
      </c>
      <c r="D203" t="inlineStr">
        <is>
          <t>/高中语文/作文/素材/K12/家长群体</t>
        </is>
      </c>
      <c r="E203" t="inlineStr">
        <is>
          <t>https://dcn8qexvg13r.feishu.cn/share/base/query/shrcnMqxwwRkV3NUIUxPeab3sec</t>
        </is>
      </c>
      <c r="F203" t="inlineStr">
        <is>
          <t>请添加微信：k846211</t>
        </is>
      </c>
      <c r="G203" t="inlineStr">
        <is>
          <t>2025-11-09</t>
        </is>
      </c>
    </row>
    <row r="204" ht="25.5" customHeight="1">
      <c r="A204" t="inlineStr">
        <is>
          <t>千锋教育Python教程_700集零基础Python入门到精通教程（爬虫+办公自动化+数据分析）</t>
        </is>
      </c>
      <c r="B204" s="2" t="str">
        <f>=HYPERLINK("https://pan.quark.cn/s/95f8ac98595b", "https://pan.quark.cn/s/95f8ac98595b")</f>
        <v>https://pan.quark.cn/s/95f8ac98595b</v>
      </c>
      <c r="C204" t="inlineStr">
        <is>
          <t>53.4G</t>
        </is>
      </c>
      <c r="D204" t="inlineStr">
        <is>
          <t>/Python/零基础/爬虫/办公自动化/数据分析/大学生/编程/技能入门</t>
        </is>
      </c>
      <c r="E204" t="inlineStr">
        <is>
          <t>https://dcn8qexvg13r.feishu.cn/share/base/query/shrcnMqxwwRkV3NUIUxPeab3sec</t>
        </is>
      </c>
      <c r="F204" t="inlineStr">
        <is>
          <t>请添加微信：k846211</t>
        </is>
      </c>
      <c r="G204" t="inlineStr">
        <is>
          <t>2025-11-09</t>
        </is>
      </c>
    </row>
    <row r="205" ht="25.5" customHeight="1">
      <c r="A205" t="inlineStr">
        <is>
          <t>蔡丹君老师：提纲挈领读《红楼梦》</t>
        </is>
      </c>
      <c r="B205" s="2" t="str">
        <f>=HYPERLINK("https://pan.quark.cn/s/6d573d5d68cb", "https://pan.quark.cn/s/6d573d5d68cb")</f>
        <v>https://pan.quark.cn/s/6d573d5d68cb</v>
      </c>
      <c r="C205" t="inlineStr">
        <is>
          <t>7.6G</t>
        </is>
      </c>
      <c r="D205" t="inlineStr">
        <is>
          <t>/红楼梦/蔡丹君/提纲挈领/文学解读/大学生/考研/考公/考证党</t>
        </is>
      </c>
      <c r="E205" t="inlineStr">
        <is>
          <t>https://dcn8qexvg13r.feishu.cn/share/base/query/shrcnMqxwwRkV3NUIUxPeab3sec</t>
        </is>
      </c>
      <c r="F205" t="inlineStr">
        <is>
          <t>请添加微信：k846211</t>
        </is>
      </c>
      <c r="G205" t="inlineStr">
        <is>
          <t>2025-11-09</t>
        </is>
      </c>
    </row>
    <row r="206" ht="25.5" customHeight="1">
      <c r="A206" t="inlineStr">
        <is>
          <t>Fede《节奏性动画训练课程》</t>
        </is>
      </c>
      <c r="B206" s="2" t="str">
        <f>=HYPERLINK("https://pan.quark.cn/s/5dc81222e9e6", "https://pan.quark.cn/s/5dc81222e9e6")</f>
        <v>https://pan.quark.cn/s/5dc81222e9e6</v>
      </c>
      <c r="C206" t="inlineStr">
        <is>
          <t>1.4G</t>
        </is>
      </c>
      <c r="D206" t="inlineStr">
        <is>
          <t>/节奏性动画/动画训练/课程/技能入门/特定行业从业者</t>
        </is>
      </c>
      <c r="E206" t="inlineStr">
        <is>
          <t>https://dcn8qexvg13r.feishu.cn/share/base/query/shrcnMqxwwRkV3NUIUxPeab3sec</t>
        </is>
      </c>
      <c r="F206" t="inlineStr">
        <is>
          <t>请添加微信：k846211</t>
        </is>
      </c>
      <c r="G206" t="inlineStr">
        <is>
          <t>2025-11-09</t>
        </is>
      </c>
    </row>
    <row r="207" ht="25.5" customHeight="1">
      <c r="A207" t="inlineStr">
        <is>
          <t>儿童艺术启蒙动画《玛蒂与达达的名画之旅》中文版</t>
        </is>
      </c>
      <c r="B207" s="2" t="str">
        <f>=HYPERLINK("https://pan.quark.cn/s/013c3a673ff9", "https://pan.quark.cn/s/013c3a673ff9")</f>
        <v>https://pan.quark.cn/s/013c3a673ff9</v>
      </c>
      <c r="C207" t="inlineStr">
        <is>
          <t>4G</t>
        </is>
      </c>
      <c r="D207" t="inlineStr">
        <is>
          <t>/儿童艺术启蒙/动画/名画/玛蒂与达达/育儿/学龄儿童家长</t>
        </is>
      </c>
      <c r="E207" t="inlineStr">
        <is>
          <t>https://dcn8qexvg13r.feishu.cn/share/base/query/shrcnMqxwwRkV3NUIUxPeab3sec</t>
        </is>
      </c>
      <c r="F207" t="inlineStr">
        <is>
          <t>请添加微信：k846211</t>
        </is>
      </c>
      <c r="G207" t="inlineStr">
        <is>
          <t>2025-11-09</t>
        </is>
      </c>
    </row>
    <row r="208" ht="25.5" customHeight="1">
      <c r="A208" t="inlineStr">
        <is>
          <t>曾仕强解密道德经 81节(1)</t>
        </is>
      </c>
      <c r="B208" s="2" t="str">
        <f>=HYPERLINK("https://pan.quark.cn/s/08d880239bc3", "https://pan.quark.cn/s/08d880239bc3")</f>
        <v>https://pan.quark.cn/s/08d880239bc3</v>
      </c>
      <c r="C208" t="inlineStr">
        <is>
          <t>5G</t>
        </is>
      </c>
      <c r="D208" t="inlineStr">
        <is>
          <t>/道德经/曾仕强/解读/国学/管理者/其他</t>
        </is>
      </c>
      <c r="E208" t="inlineStr">
        <is>
          <t>https://dcn8qexvg13r.feishu.cn/share/base/query/shrcnMqxwwRkV3NUIUxPeab3sec</t>
        </is>
      </c>
      <c r="F208" t="inlineStr">
        <is>
          <t>请添加微信：k846211</t>
        </is>
      </c>
      <c r="G208" t="inlineStr">
        <is>
          <t>2025-11-09</t>
        </is>
      </c>
    </row>
    <row r="209" ht="25.5" customHeight="1">
      <c r="A209" t="inlineStr">
        <is>
          <t>戴建业：高能诗词课</t>
        </is>
      </c>
      <c r="B209" s="2" t="str">
        <f>=HYPERLINK("https://pan.quark.cn/s/80b111ca4e5e", "https://pan.quark.cn/s/80b111ca4e5e")</f>
        <v>https://pan.quark.cn/s/80b111ca4e5e</v>
      </c>
      <c r="C209" t="inlineStr">
        <is>
          <t>13.7G</t>
        </is>
      </c>
      <c r="D209" t="inlineStr">
        <is>
          <t>/诗词/课程/戴建业/高能/大学生/考研/考公/考证党</t>
        </is>
      </c>
      <c r="E209" t="inlineStr">
        <is>
          <t>https://dcn8qexvg13r.feishu.cn/share/base/query/shrcnMqxwwRkV3NUIUxPeab3sec</t>
        </is>
      </c>
      <c r="F209" t="inlineStr">
        <is>
          <t>请添加微信：k846211</t>
        </is>
      </c>
      <c r="G209" t="inlineStr">
        <is>
          <t>2025-11-09</t>
        </is>
      </c>
    </row>
    <row r="210" ht="25.5" customHeight="1">
      <c r="A210" t="inlineStr">
        <is>
          <t>跟随名家脚步看懂中国名画</t>
        </is>
      </c>
      <c r="B210" s="2" t="str">
        <f>=HYPERLINK("https://pan.quark.cn/s/b60aae8a1238", "https://pan.quark.cn/s/b60aae8a1238")</f>
        <v>https://pan.quark.cn/s/b60aae8a1238</v>
      </c>
      <c r="C210" t="inlineStr">
        <is>
          <t>4.4G</t>
        </is>
      </c>
      <c r="D210" t="inlineStr">
        <is>
          <t>/中国名画/名家解析/艺术鉴赏/审美提升/白领/其他</t>
        </is>
      </c>
      <c r="E210" t="inlineStr">
        <is>
          <t>https://dcn8qexvg13r.feishu.cn/share/base/query/shrcnMqxwwRkV3NUIUxPeab3sec</t>
        </is>
      </c>
      <c r="F210" t="inlineStr">
        <is>
          <t>请添加微信：k846211</t>
        </is>
      </c>
      <c r="G210" t="inlineStr">
        <is>
          <t>2025-11-09</t>
        </is>
      </c>
    </row>
    <row r="211" ht="25.5" customHeight="1">
      <c r="A211" t="inlineStr">
        <is>
          <t>曹雄峰-商业思维案例笔记（完结）</t>
        </is>
      </c>
      <c r="B211" s="2" t="str">
        <f>=HYPERLINK("https://pan.quark.cn/s/5707ad94283f", "https://pan.quark.cn/s/5707ad94283f")</f>
        <v>https://pan.quark.cn/s/5707ad94283f</v>
      </c>
      <c r="C211" t="inlineStr">
        <is>
          <t>1.9G</t>
        </is>
      </c>
      <c r="D211" t="inlineStr">
        <is>
          <t>/商业思维/案例笔记/商业分析/管理思维/管理者/白领</t>
        </is>
      </c>
      <c r="E211" t="inlineStr">
        <is>
          <t>https://dcn8qexvg13r.feishu.cn/share/base/query/shrcnMqxwwRkV3NUIUxPeab3sec</t>
        </is>
      </c>
      <c r="F211" t="inlineStr">
        <is>
          <t>请添加微信：k846211</t>
        </is>
      </c>
      <c r="G211" t="inlineStr">
        <is>
          <t>2025-11-09</t>
        </is>
      </c>
    </row>
    <row r="212" ht="25.5" customHeight="1">
      <c r="A212" t="inlineStr">
        <is>
          <t>高中人教版英语单词课文录音资料</t>
        </is>
      </c>
      <c r="B212" s="2" t="str">
        <f>=HYPERLINK("https://pan.quark.cn/s/2e00f85173ea", "https://pan.quark.cn/s/2e00f85173ea")</f>
        <v>https://pan.quark.cn/s/2e00f85173ea</v>
      </c>
      <c r="C212" t="inlineStr">
        <is>
          <t>3.8G</t>
        </is>
      </c>
      <c r="D212" t="inlineStr">
        <is>
          <t>/高中英语/人教版/单词/课文录音/K12/语言</t>
        </is>
      </c>
      <c r="E212" t="inlineStr">
        <is>
          <t>https://dcn8qexvg13r.feishu.cn/share/base/query/shrcnMqxwwRkV3NUIUxPeab3sec</t>
        </is>
      </c>
      <c r="F212" t="inlineStr">
        <is>
          <t>请添加微信：k846211</t>
        </is>
      </c>
      <c r="G212" t="inlineStr">
        <is>
          <t>2025-11-09</t>
        </is>
      </c>
    </row>
    <row r="213" ht="25.5" customHeight="1">
      <c r="A213" t="inlineStr">
        <is>
          <t>红楼梦（120集全）</t>
        </is>
      </c>
      <c r="B213" s="2" t="str">
        <f>=HYPERLINK("https://pan.quark.cn/s/a3f1bce1b7be", "https://pan.quark.cn/s/a3f1bce1b7be")</f>
        <v>https://pan.quark.cn/s/a3f1bce1b7be</v>
      </c>
      <c r="C213" t="inlineStr">
        <is>
          <t>7.7G</t>
        </is>
      </c>
      <c r="D213" t="inlineStr">
        <is>
          <t>/红楼梦/古典文学/剧集/文学研究/剧集</t>
        </is>
      </c>
      <c r="E213" t="inlineStr">
        <is>
          <t>https://dcn8qexvg13r.feishu.cn/share/base/query/shrcnMqxwwRkV3NUIUxPeab3sec</t>
        </is>
      </c>
      <c r="F213" t="inlineStr">
        <is>
          <t>请添加微信：k846211</t>
        </is>
      </c>
      <c r="G213" t="inlineStr">
        <is>
          <t>2025-11-09</t>
        </is>
      </c>
    </row>
    <row r="214" ht="25.5" customHeight="1">
      <c r="A214" t="inlineStr">
        <is>
          <t>郭德纲相声精选 音频合集</t>
        </is>
      </c>
      <c r="B214" s="2" t="str">
        <f>=HYPERLINK("https://pan.quark.cn/s/c0f9cb0a8677", "https://pan.quark.cn/s/c0f9cb0a8677")</f>
        <v>https://pan.quark.cn/s/c0f9cb0a8677</v>
      </c>
      <c r="C214" t="inlineStr">
        <is>
          <t>2.3G</t>
        </is>
      </c>
      <c r="D214" t="inlineStr">
        <is>
          <t>/郭德纲/相声/音频/休闲娱乐/白领/其他</t>
        </is>
      </c>
      <c r="E214" t="inlineStr">
        <is>
          <t>https://dcn8qexvg13r.feishu.cn/share/base/query/shrcnMqxwwRkV3NUIUxPeab3sec</t>
        </is>
      </c>
      <c r="F214" t="inlineStr">
        <is>
          <t>请添加微信：k846211</t>
        </is>
      </c>
      <c r="G214" t="inlineStr">
        <is>
          <t>2025-11-09</t>
        </is>
      </c>
    </row>
    <row r="215" ht="25.5" customHeight="1">
      <c r="A215" t="inlineStr">
        <is>
          <t>100000套ppt模版含莫兰迪高端大气ppt模板</t>
        </is>
      </c>
      <c r="B215" s="2" t="str">
        <f>=HYPERLINK("https://pan.quark.cn/s/27c7fe8ad4ab", "https://pan.quark.cn/s/27c7fe8ad4ab")</f>
        <v>https://pan.quark.cn/s/27c7fe8ad4ab</v>
      </c>
      <c r="C215" t="inlineStr">
        <is>
          <t>65.9G</t>
        </is>
      </c>
      <c r="D215" t="inlineStr">
        <is>
          <t>/PPT模板/莫兰迪/高端大气/设计素材/白领/管理者</t>
        </is>
      </c>
      <c r="E215" t="inlineStr">
        <is>
          <t>https://dcn8qexvg13r.feishu.cn/share/base/query/shrcnMqxwwRkV3NUIUxPeab3sec</t>
        </is>
      </c>
      <c r="F215" t="inlineStr">
        <is>
          <t>请添加微信：k846211</t>
        </is>
      </c>
      <c r="G215" t="inlineStr">
        <is>
          <t>2025-11-09</t>
        </is>
      </c>
    </row>
    <row r="216" ht="25.5" customHeight="1">
      <c r="A216" t="inlineStr">
        <is>
          <t>86道菜谱 烹饪指南</t>
        </is>
      </c>
      <c r="B216" s="2" t="str">
        <f>=HYPERLINK("https://pan.quark.cn/s/de0919595ee6", "https://pan.quark.cn/s/de0919595ee6")</f>
        <v>https://pan.quark.cn/s/de0919595ee6</v>
      </c>
      <c r="C216" t="inlineStr">
        <is>
          <t>66.5M</t>
        </is>
      </c>
      <c r="D216" t="inlineStr">
        <is>
          <t>/菜谱/烹饪指南/美食制作/家常菜/宝妈/家长群体/白领</t>
        </is>
      </c>
      <c r="E216" t="inlineStr">
        <is>
          <t>https://dcn8qexvg13r.feishu.cn/share/base/query/shrcnMqxwwRkV3NUIUxPeab3sec</t>
        </is>
      </c>
      <c r="F216" t="inlineStr">
        <is>
          <t>请添加微信：k846211</t>
        </is>
      </c>
      <c r="G216" t="inlineStr">
        <is>
          <t>2025-11-09</t>
        </is>
      </c>
    </row>
    <row r="217" ht="25.5" customHeight="1">
      <c r="A217" t="inlineStr">
        <is>
          <t>各种格式的纸（PDF）</t>
        </is>
      </c>
      <c r="B217" s="2" t="str">
        <f>=HYPERLINK("https://pan.quark.cn/s/64cf5902cb91", "https://pan.quark.cn/s/64cf5902cb91")</f>
        <v>https://pan.quark.cn/s/64cf5902cb91</v>
      </c>
      <c r="C217" t="inlineStr">
        <is>
          <t>5.3M</t>
        </is>
      </c>
      <c r="D217" t="inlineStr">
        <is>
          <t>/纸/PDF/文档格式/文档资源/特定行业从业者/白领</t>
        </is>
      </c>
      <c r="E217" t="inlineStr">
        <is>
          <t>https://dcn8qexvg13r.feishu.cn/share/base/query/shrcnMqxwwRkV3NUIUxPeab3sec</t>
        </is>
      </c>
      <c r="F217" t="inlineStr">
        <is>
          <t>请添加微信：k846211</t>
        </is>
      </c>
      <c r="G217" t="inlineStr">
        <is>
          <t>2025-11-09</t>
        </is>
      </c>
    </row>
    <row r="218" ht="25.5" customHeight="1">
      <c r="A218" t="inlineStr">
        <is>
          <t>飞楷实用练字“9合1”全体系课</t>
        </is>
      </c>
      <c r="B218" s="2" t="str">
        <f>=HYPERLINK("https://pan.quark.cn/s/be52d24a2a83", "https://pan.quark.cn/s/be52d24a2a83")</f>
        <v>https://pan.quark.cn/s/be52d24a2a83</v>
      </c>
      <c r="C218" t="inlineStr">
        <is>
          <t>15.6G</t>
        </is>
      </c>
      <c r="D218" t="inlineStr">
        <is>
          <t>/练字/实用/全体系课/技能入门/宝妈/家长群体/学龄儿童家长</t>
        </is>
      </c>
      <c r="E218" t="inlineStr">
        <is>
          <t>https://dcn8qexvg13r.feishu.cn/share/base/query/shrcnMqxwwRkV3NUIUxPeab3sec</t>
        </is>
      </c>
      <c r="F218" t="inlineStr">
        <is>
          <t>请添加微信：k846211</t>
        </is>
      </c>
      <c r="G218" t="inlineStr">
        <is>
          <t>2025-11-09</t>
        </is>
      </c>
    </row>
    <row r="219" ht="25.5" customHeight="1">
      <c r="A219" t="inlineStr">
        <is>
          <t>儿童睡前故事《愤怒小龙》汤汤作品</t>
        </is>
      </c>
      <c r="B219" s="2" t="str">
        <f>=HYPERLINK("https://pan.quark.cn/s/3e78e8fdfb69", "https://pan.quark.cn/s/3e78e8fdfb69")</f>
        <v>https://pan.quark.cn/s/3e78e8fdfb69</v>
      </c>
      <c r="C219" t="inlineStr">
        <is>
          <t>76.6M</t>
        </is>
      </c>
      <c r="D219" t="inlineStr">
        <is>
          <t>/儿童故事/睡前故事/情绪管理/汤汤/宝妈/家长群体/育儿</t>
        </is>
      </c>
      <c r="E219" t="inlineStr">
        <is>
          <t>https://dcn8qexvg13r.feishu.cn/share/base/query/shrcnMqxwwRkV3NUIUxPeab3sec</t>
        </is>
      </c>
      <c r="F219" t="inlineStr">
        <is>
          <t>请添加微信：k846211</t>
        </is>
      </c>
      <c r="G219" t="inlineStr">
        <is>
          <t>2025-11-09</t>
        </is>
      </c>
    </row>
    <row r="220" ht="25.5" customHeight="1">
      <c r="A220" t="inlineStr">
        <is>
          <t>花生十三&amp;飞扬《2025上半年公考笔试套题冲刺班》</t>
        </is>
      </c>
      <c r="B220" s="2" t="str">
        <f>=HYPERLINK("https://pan.quark.cn/s/3fe728380f31", "https://pan.quark.cn/s/3fe728380f31")</f>
        <v>https://pan.quark.cn/s/3fe728380f31</v>
      </c>
      <c r="C220" t="inlineStr">
        <is>
          <t>86.8M</t>
        </is>
      </c>
      <c r="D220" t="inlineStr">
        <is>
          <t>/2025上半年/公考笔试/套题冲刺/花生十三/考公/考证党</t>
        </is>
      </c>
      <c r="E220" t="inlineStr">
        <is>
          <t>https://dcn8qexvg13r.feishu.cn/share/base/query/shrcnMqxwwRkV3NUIUxPeab3sec</t>
        </is>
      </c>
      <c r="F220" t="inlineStr">
        <is>
          <t>请添加微信：k846211</t>
        </is>
      </c>
      <c r="G220" t="inlineStr">
        <is>
          <t>2025-11-09</t>
        </is>
      </c>
    </row>
    <row r="221" ht="25.5" customHeight="1">
      <c r="A221" t="inlineStr">
        <is>
          <t>古典·职业生涯发展研修班(1)</t>
        </is>
      </c>
      <c r="B221" s="2" t="str">
        <f>=HYPERLINK("https://pan.quark.cn/s/e735ee4d9d4a", "https://pan.quark.cn/s/e735ee4d9d4a")</f>
        <v>https://pan.quark.cn/s/e735ee4d9d4a</v>
      </c>
      <c r="C221" t="inlineStr">
        <is>
          <t>1.7G</t>
        </is>
      </c>
      <c r="D221" t="inlineStr">
        <is>
          <t>/古典/职业生涯发展/研修班/白领/管理者</t>
        </is>
      </c>
      <c r="E221" t="inlineStr">
        <is>
          <t>https://dcn8qexvg13r.feishu.cn/share/base/query/shrcnMqxwwRkV3NUIUxPeab3sec</t>
        </is>
      </c>
      <c r="F221" t="inlineStr">
        <is>
          <t>请添加微信：k846211</t>
        </is>
      </c>
      <c r="G221" t="inlineStr">
        <is>
          <t>2025-11-09</t>
        </is>
      </c>
    </row>
    <row r="222" ht="25.5" customHeight="1">
      <c r="A222" t="inlineStr">
        <is>
          <t>千秋兴亡：葛剑雄讲中国史（上）完结(1)</t>
        </is>
      </c>
      <c r="B222" s="2" t="str">
        <f>=HYPERLINK("https://pan.quark.cn/s/43c5b60840cd", "https://pan.quark.cn/s/43c5b60840cd")</f>
        <v>https://pan.quark.cn/s/43c5b60840cd</v>
      </c>
      <c r="C222" t="inlineStr">
        <is>
          <t>22.5G</t>
        </is>
      </c>
      <c r="D222" t="inlineStr">
        <is>
          <t>/中国史/葛剑雄/历史普及/完结课程/大学生/考研/考公/考证党</t>
        </is>
      </c>
      <c r="E222" t="inlineStr">
        <is>
          <t>https://dcn8qexvg13r.feishu.cn/share/base/query/shrcnMqxwwRkV3NUIUxPeab3sec</t>
        </is>
      </c>
      <c r="F222" t="inlineStr">
        <is>
          <t>请添加微信：k846211</t>
        </is>
      </c>
      <c r="G222" t="inlineStr">
        <is>
          <t>2025-11-09</t>
        </is>
      </c>
    </row>
    <row r="223" ht="25.5" customHeight="1">
      <c r="A223" t="inlineStr">
        <is>
          <t>古典·职业生涯发展研修班</t>
        </is>
      </c>
      <c r="B223" s="2" t="str">
        <f>=HYPERLINK("https://pan.quark.cn/s/6791da105c49", "https://pan.quark.cn/s/6791da105c49")</f>
        <v>https://pan.quark.cn/s/6791da105c49</v>
      </c>
      <c r="C223" t="inlineStr">
        <is>
          <t>1.7G</t>
        </is>
      </c>
      <c r="D223" t="inlineStr">
        <is>
          <t>/职业生涯发展/研修班/职业规划/白领/管理者</t>
        </is>
      </c>
      <c r="E223" t="inlineStr">
        <is>
          <t>https://dcn8qexvg13r.feishu.cn/share/base/query/shrcnMqxwwRkV3NUIUxPeab3sec</t>
        </is>
      </c>
      <c r="F223" t="inlineStr">
        <is>
          <t>请添加微信：k846211</t>
        </is>
      </c>
      <c r="G223" t="inlineStr">
        <is>
          <t>2025-11-09</t>
        </is>
      </c>
    </row>
    <row r="224" ht="25.5" customHeight="1">
      <c r="A224" t="inlineStr">
        <is>
          <t>千秋兴亡：葛剑雄讲中国史（上）完结</t>
        </is>
      </c>
      <c r="B224" s="2" t="str">
        <f>=HYPERLINK("https://pan.quark.cn/s/8a8e4971afd6", "https://pan.quark.cn/s/8a8e4971afd6")</f>
        <v>https://pan.quark.cn/s/8a8e4971afd6</v>
      </c>
      <c r="C224" t="inlineStr">
        <is>
          <t>22.5G</t>
        </is>
      </c>
      <c r="D224" t="inlineStr">
        <is>
          <t>/中国史/葛剑雄/历史讲解/完结课程/大学生/考研/考公/考证党</t>
        </is>
      </c>
      <c r="E224" t="inlineStr">
        <is>
          <t>https://dcn8qexvg13r.feishu.cn/share/base/query/shrcnMqxwwRkV3NUIUxPeab3sec</t>
        </is>
      </c>
      <c r="F224" t="inlineStr">
        <is>
          <t>请添加微信：k846211</t>
        </is>
      </c>
      <c r="G224" t="inlineStr">
        <is>
          <t>2025-11-09</t>
        </is>
      </c>
    </row>
    <row r="225" ht="25.5" customHeight="1">
      <c r="A225" t="inlineStr">
        <is>
          <t>Della的气味博物馆</t>
        </is>
      </c>
      <c r="B225" s="2" t="str">
        <f>=HYPERLINK("https://pan.quark.cn/s/00affba2c297", "https://pan.quark.cn/s/00affba2c297")</f>
        <v>https://pan.quark.cn/s/00affba2c297</v>
      </c>
      <c r="C225" t="inlineStr">
        <is>
          <t>888.2M</t>
        </is>
      </c>
      <c r="D225" t="inlineStr">
        <is>
          <t>/气味/博物馆/嗅觉体验/气味文化/其他</t>
        </is>
      </c>
      <c r="E225" t="inlineStr">
        <is>
          <t>https://dcn8qexvg13r.feishu.cn/share/base/query/shrcnMqxwwRkV3NUIUxPeab3sec</t>
        </is>
      </c>
      <c r="F225" t="inlineStr">
        <is>
          <t>请添加微信：k846211</t>
        </is>
      </c>
      <c r="G225" t="inlineStr">
        <is>
          <t>2025-11-09</t>
        </is>
      </c>
    </row>
    <row r="226" ht="25.5" customHeight="1">
      <c r="A226" t="inlineStr">
        <is>
          <t>洪兰脑科学课堂——大脑与生活</t>
        </is>
      </c>
      <c r="B226" s="2" t="str">
        <f>=HYPERLINK("https://pan.quark.cn/s/fc18a2392b0a", "https://pan.quark.cn/s/fc18a2392b0a")</f>
        <v>https://pan.quark.cn/s/fc18a2392b0a</v>
      </c>
      <c r="C226" t="inlineStr">
        <is>
          <t>5.1G</t>
        </is>
      </c>
      <c r="D226" t="inlineStr">
        <is>
          <t>/脑科学/生活应用/课堂/大学生/白领</t>
        </is>
      </c>
      <c r="E226" t="inlineStr">
        <is>
          <t>https://dcn8qexvg13r.feishu.cn/share/base/query/shrcnMqxwwRkV3NUIUxPeab3sec</t>
        </is>
      </c>
      <c r="F226" t="inlineStr">
        <is>
          <t>请添加微信：k846211</t>
        </is>
      </c>
      <c r="G226" t="inlineStr">
        <is>
          <t>2025-11-09</t>
        </is>
      </c>
    </row>
    <row r="227" ht="25.5" customHeight="1">
      <c r="A227" t="inlineStr">
        <is>
          <t>DZT高分数学罗老师《高中数学题型高手 (2025版) 》</t>
        </is>
      </c>
      <c r="B227" s="2" t="str">
        <f>=HYPERLINK("https://pan.quark.cn/s/12494fc26243", "https://pan.quark.cn/s/12494fc26243")</f>
        <v>https://pan.quark.cn/s/12494fc26243</v>
      </c>
      <c r="C227" t="inlineStr">
        <is>
          <t>2.1G</t>
        </is>
      </c>
      <c r="D227" t="inlineStr">
        <is>
          <t>/高中数学/题型解析/高分备考/教辅书/K12/学龄儿童家长</t>
        </is>
      </c>
      <c r="E227" t="inlineStr">
        <is>
          <t>https://dcn8qexvg13r.feishu.cn/share/base/query/shrcnMqxwwRkV3NUIUxPeab3sec</t>
        </is>
      </c>
      <c r="F227" t="inlineStr">
        <is>
          <t>请添加微信：k846211</t>
        </is>
      </c>
      <c r="G227" t="inlineStr">
        <is>
          <t>2025-11-09</t>
        </is>
      </c>
    </row>
    <row r="228" ht="25.5" customHeight="1">
      <c r="A228" t="inlineStr">
        <is>
          <t>混社会：步入成人世界的第一堂生存手段课</t>
        </is>
      </c>
      <c r="B228" s="2" t="str">
        <f>=HYPERLINK("https://pan.quark.cn/s/d80c66dc00fb", "https://pan.quark.cn/s/d80c66dc00fb")</f>
        <v>https://pan.quark.cn/s/d80c66dc00fb</v>
      </c>
      <c r="C228" t="inlineStr">
        <is>
          <t>1.2G</t>
        </is>
      </c>
      <c r="D228" t="inlineStr">
        <is>
          <t>/成人世界/生存手段/社会适应/技能入门/大学生/白领</t>
        </is>
      </c>
      <c r="E228" t="inlineStr">
        <is>
          <t>https://dcn8qexvg13r.feishu.cn/share/base/query/shrcnMqxwwRkV3NUIUxPeab3sec</t>
        </is>
      </c>
      <c r="F228" t="inlineStr">
        <is>
          <t>请添加微信：k846211</t>
        </is>
      </c>
      <c r="G228" t="inlineStr">
        <is>
          <t>2025-11-09</t>
        </is>
      </c>
    </row>
    <row r="229" ht="25.5" customHeight="1">
      <c r="A229" t="inlineStr">
        <is>
          <t>宝贝听书——小孩故事200篇</t>
        </is>
      </c>
      <c r="B229" s="2" t="str">
        <f>=HYPERLINK("https://pan.quark.cn/s/68f15c349e6c", "https://pan.quark.cn/s/68f15c349e6c")</f>
        <v>https://pan.quark.cn/s/68f15c349e6c</v>
      </c>
      <c r="C229" t="inlineStr">
        <is>
          <t>578.7M</t>
        </is>
      </c>
      <c r="D229" t="inlineStr">
        <is>
          <t>/儿童故事/听书/亲子教育/小孩故事/宝妈/家长群体/育儿</t>
        </is>
      </c>
      <c r="E229" t="inlineStr">
        <is>
          <t>https://dcn8qexvg13r.feishu.cn/share/base/query/shrcnMqxwwRkV3NUIUxPeab3sec</t>
        </is>
      </c>
      <c r="F229" t="inlineStr">
        <is>
          <t>请添加微信：k846211</t>
        </is>
      </c>
      <c r="G229" t="inlineStr">
        <is>
          <t>2025-11-09</t>
        </is>
      </c>
    </row>
    <row r="230" ht="25.5" customHeight="1">
      <c r="A230" t="inlineStr">
        <is>
          <t>B站 - 珍大户 - 认知世界的经济学</t>
        </is>
      </c>
      <c r="B230" s="2" t="str">
        <f>=HYPERLINK("https://pan.quark.cn/s/9b0bd648fdaf", "https://pan.quark.cn/s/9b0bd648fdaf")</f>
        <v>https://pan.quark.cn/s/9b0bd648fdaf</v>
      </c>
      <c r="C230" t="inlineStr">
        <is>
          <t>15.8G</t>
        </is>
      </c>
      <c r="D230" t="inlineStr">
        <is>
          <t>/经济学/认知提升/B站课程/珍大户/大学生/白领</t>
        </is>
      </c>
      <c r="E230" t="inlineStr">
        <is>
          <t>https://dcn8qexvg13r.feishu.cn/share/base/query/shrcnMqxwwRkV3NUIUxPeab3sec</t>
        </is>
      </c>
      <c r="F230" t="inlineStr">
        <is>
          <t>请添加微信：k846211</t>
        </is>
      </c>
      <c r="G230" t="inlineStr">
        <is>
          <t>2025-11-09</t>
        </is>
      </c>
    </row>
    <row r="231" ht="25.5" customHeight="1">
      <c r="A231" t="inlineStr">
        <is>
          <t>阿里巴巴新手运营课</t>
        </is>
      </c>
      <c r="B231" s="2" t="str">
        <f>=HYPERLINK("https://pan.quark.cn/s/7b0e779136c6", "https://pan.quark.cn/s/7b0e779136c6")</f>
        <v>https://pan.quark.cn/s/7b0e779136c6</v>
      </c>
      <c r="C231" t="inlineStr">
        <is>
          <t>909.5M</t>
        </is>
      </c>
      <c r="D231" t="inlineStr">
        <is>
          <t>/阿里巴巴/运营/新手/入门/特定行业从业者/技能入门</t>
        </is>
      </c>
      <c r="E231" t="inlineStr">
        <is>
          <t>https://dcn8qexvg13r.feishu.cn/share/base/query/shrcnMqxwwRkV3NUIUxPeab3sec</t>
        </is>
      </c>
      <c r="F231" t="inlineStr">
        <is>
          <t>请添加微信：k846211</t>
        </is>
      </c>
      <c r="G231" t="inlineStr">
        <is>
          <t>2025-11-09</t>
        </is>
      </c>
    </row>
    <row r="232" ht="25.5" customHeight="1">
      <c r="A232" t="inlineStr">
        <is>
          <t>40部女神书单，读书的女人不怕老（完结）</t>
        </is>
      </c>
      <c r="B232" s="2" t="str">
        <f>=HYPERLINK("https://pan.quark.cn/s/de4763c889be", "https://pan.quark.cn/s/de4763c889be")</f>
        <v>https://pan.quark.cn/s/de4763c889be</v>
      </c>
      <c r="C232" t="inlineStr">
        <is>
          <t>1.3G</t>
        </is>
      </c>
      <c r="D232" t="inlineStr">
        <is>
          <t>/女神/书单/读书/女性成长/白领/宝妈/家长群体</t>
        </is>
      </c>
      <c r="E232" t="inlineStr">
        <is>
          <t>https://dcn8qexvg13r.feishu.cn/share/base/query/shrcnMqxwwRkV3NUIUxPeab3sec</t>
        </is>
      </c>
      <c r="F232" t="inlineStr">
        <is>
          <t>请添加微信：k846211</t>
        </is>
      </c>
      <c r="G232" t="inlineStr">
        <is>
          <t>2025-11-09</t>
        </is>
      </c>
    </row>
    <row r="233" ht="25.5" customHeight="1">
      <c r="A233" t="inlineStr">
        <is>
          <t>反脆弱：塑造强大内心</t>
        </is>
      </c>
      <c r="B233" s="2" t="str">
        <f>=HYPERLINK("https://pan.quark.cn/s/2c641d255b4d", "https://pan.quark.cn/s/2c641d255b4d")</f>
        <v>https://pan.quark.cn/s/2c641d255b4d</v>
      </c>
      <c r="C233" t="inlineStr">
        <is>
          <t>969.5M</t>
        </is>
      </c>
      <c r="D233" t="inlineStr">
        <is>
          <t>/反脆弱/内心强大/心理成长/自我提升/白领/管理者</t>
        </is>
      </c>
      <c r="E233" t="inlineStr">
        <is>
          <t>https://dcn8qexvg13r.feishu.cn/share/base/query/shrcnMqxwwRkV3NUIUxPeab3sec</t>
        </is>
      </c>
      <c r="F233" t="inlineStr">
        <is>
          <t>请添加微信：k846211</t>
        </is>
      </c>
      <c r="G233" t="inlineStr">
        <is>
          <t>2025-11-09</t>
        </is>
      </c>
    </row>
    <row r="234" ht="25.5" customHeight="1">
      <c r="A234" t="inlineStr">
        <is>
          <t>传染病与人·20讲【完结】</t>
        </is>
      </c>
      <c r="B234" s="2" t="str">
        <f>=HYPERLINK("https://pan.quark.cn/s/def69a0f85ff", "https://pan.quark.cn/s/def69a0f85ff")</f>
        <v>https://pan.quark.cn/s/def69a0f85ff</v>
      </c>
      <c r="C234" t="inlineStr">
        <is>
          <t>551.2M</t>
        </is>
      </c>
      <c r="D234" t="inlineStr">
        <is>
          <t>/传染病/医学健康/课程/20讲/大学生/特定行业从业者</t>
        </is>
      </c>
      <c r="E234" t="inlineStr">
        <is>
          <t>https://dcn8qexvg13r.feishu.cn/share/base/query/shrcnMqxwwRkV3NUIUxPeab3sec</t>
        </is>
      </c>
      <c r="F234" t="inlineStr">
        <is>
          <t>请添加微信：k846211</t>
        </is>
      </c>
      <c r="G234" t="inlineStr">
        <is>
          <t>2025-11-09</t>
        </is>
      </c>
    </row>
    <row r="235" ht="25.5" customHeight="1">
      <c r="A235" t="inlineStr">
        <is>
          <t>千秋兴亡：葛剑雄讲中国史（下）完结</t>
        </is>
      </c>
      <c r="B235" s="2" t="str">
        <f>=HYPERLINK("https://pan.quark.cn/s/3f88036372f5", "https://pan.quark.cn/s/3f88036372f5")</f>
        <v>https://pan.quark.cn/s/3f88036372f5</v>
      </c>
      <c r="C235" t="inlineStr">
        <is>
          <t>22G</t>
        </is>
      </c>
      <c r="D235" t="inlineStr">
        <is>
          <t>/中国史/葛剑雄/历史讲座/历史普及/大学生/考研/考公/考证党</t>
        </is>
      </c>
      <c r="E235" t="inlineStr">
        <is>
          <t>https://dcn8qexvg13r.feishu.cn/share/base/query/shrcnMqxwwRkV3NUIUxPeab3sec</t>
        </is>
      </c>
      <c r="F235" t="inlineStr">
        <is>
          <t>请添加微信：k846211</t>
        </is>
      </c>
      <c r="G235" t="inlineStr">
        <is>
          <t>2025-11-09</t>
        </is>
      </c>
    </row>
    <row r="236" ht="25.5" customHeight="1">
      <c r="A236" t="inlineStr">
        <is>
          <t>B站 - 许倬云讲中国通史：五千年大格局</t>
        </is>
      </c>
      <c r="B236" s="2" t="str">
        <f>=HYPERLINK("https://pan.quark.cn/s/4c80a364d2ba", "https://pan.quark.cn/s/4c80a364d2ba")</f>
        <v>https://pan.quark.cn/s/4c80a364d2ba</v>
      </c>
      <c r="C236" t="inlineStr">
        <is>
          <t>5.1G</t>
        </is>
      </c>
      <c r="D236" t="inlineStr">
        <is>
          <t>/中国通史/历史/许倬云/B站/大学生/考研/考公/考证党</t>
        </is>
      </c>
      <c r="E236" t="inlineStr">
        <is>
          <t>https://dcn8qexvg13r.feishu.cn/share/base/query/shrcnMqxwwRkV3NUIUxPeab3sec</t>
        </is>
      </c>
      <c r="F236" t="inlineStr">
        <is>
          <t>请添加微信：k846211</t>
        </is>
      </c>
      <c r="G236" t="inlineStr">
        <is>
          <t>2025-11-09</t>
        </is>
      </c>
    </row>
    <row r="237" ht="25.5" customHeight="1">
      <c r="A237" t="inlineStr">
        <is>
          <t>零基础炒股入门视频教程</t>
        </is>
      </c>
      <c r="B237" s="2" t="str">
        <f>=HYPERLINK("https://pan.quark.cn/s/1ad8a16ce50d", "https://pan.quark.cn/s/1ad8a16ce50d")</f>
        <v>https://pan.quark.cn/s/1ad8a16ce50d</v>
      </c>
      <c r="C237" t="inlineStr">
        <is>
          <t>17.1G</t>
        </is>
      </c>
      <c r="D237" t="inlineStr">
        <is>
          <t>/炒股/视频教程/零基础/入门/技能入门/其他</t>
        </is>
      </c>
      <c r="E237" t="inlineStr">
        <is>
          <t>https://dcn8qexvg13r.feishu.cn/share/base/query/shrcnMqxwwRkV3NUIUxPeab3sec</t>
        </is>
      </c>
      <c r="F237" t="inlineStr">
        <is>
          <t>请添加微信：k846211</t>
        </is>
      </c>
      <c r="G237" t="inlineStr">
        <is>
          <t>2025-11-09</t>
        </is>
      </c>
    </row>
    <row r="238" ht="25.5" customHeight="1">
      <c r="A238" t="inlineStr">
        <is>
          <t>AI设计工作流设计师必学</t>
        </is>
      </c>
      <c r="B238" s="2" t="str">
        <f>=HYPERLINK("https://pan.quark.cn/s/5bfe1bafe217", "https://pan.quark.cn/s/5bfe1bafe217")</f>
        <v>https://pan.quark.cn/s/5bfe1bafe217</v>
      </c>
      <c r="C238" t="inlineStr">
        <is>
          <t>6.7G</t>
        </is>
      </c>
      <c r="D238" t="inlineStr">
        <is>
          <t>/AI设计/工作流/设计师/技能提升/特定行业从业者/白领</t>
        </is>
      </c>
      <c r="E238" t="inlineStr">
        <is>
          <t>https://dcn8qexvg13r.feishu.cn/share/base/query/shrcnMqxwwRkV3NUIUxPeab3sec</t>
        </is>
      </c>
      <c r="F238" t="inlineStr">
        <is>
          <t>请添加微信：k846211</t>
        </is>
      </c>
      <c r="G238" t="inlineStr">
        <is>
          <t>2025-11-09</t>
        </is>
      </c>
    </row>
    <row r="239" ht="25.5" customHeight="1">
      <c r="A239" t="inlineStr">
        <is>
          <t>霍娜《新概念英语第一二册+自然拼读全系列课程 (2024新版) 》</t>
        </is>
      </c>
      <c r="B239" s="2" t="str">
        <f>=HYPERLINK("https://pan.quark.cn/s/f9fe297aa75e", "https://pan.quark.cn/s/f9fe297aa75e")</f>
        <v>https://pan.quark.cn/s/f9fe297aa75e</v>
      </c>
      <c r="C239" t="inlineStr">
        <is>
          <t>36G</t>
        </is>
      </c>
      <c r="D239" t="inlineStr">
        <is>
          <t>/新概念英语/自然拼读/英语学习/课程/K12/语言</t>
        </is>
      </c>
      <c r="E239" t="inlineStr">
        <is>
          <t>https://dcn8qexvg13r.feishu.cn/share/base/query/shrcnMqxwwRkV3NUIUxPeab3sec</t>
        </is>
      </c>
      <c r="F239" t="inlineStr">
        <is>
          <t>请添加微信：k846211</t>
        </is>
      </c>
      <c r="G239" t="inlineStr">
        <is>
          <t>2025-11-09</t>
        </is>
      </c>
    </row>
    <row r="240" ht="25.5" customHeight="1">
      <c r="A240" t="inlineStr">
        <is>
          <t>B站蜗牛学苑《UI设计全套教程》</t>
        </is>
      </c>
      <c r="B240" s="2" t="str">
        <f>=HYPERLINK("https://pan.quark.cn/s/66e9b097e9bd", "https://pan.quark.cn/s/66e9b097e9bd")</f>
        <v>https://pan.quark.cn/s/66e9b097e9bd</v>
      </c>
      <c r="C240" t="inlineStr">
        <is>
          <t>23.9G</t>
        </is>
      </c>
      <c r="D240" t="inlineStr">
        <is>
          <t>/UI设计/全套教程/设计学习/技能入门/特定行业从业者/技能入门</t>
        </is>
      </c>
      <c r="E240" t="inlineStr">
        <is>
          <t>https://dcn8qexvg13r.feishu.cn/share/base/query/shrcnMqxwwRkV3NUIUxPeab3sec</t>
        </is>
      </c>
      <c r="F240" t="inlineStr">
        <is>
          <t>请添加微信：k846211</t>
        </is>
      </c>
      <c r="G240" t="inlineStr">
        <is>
          <t>2025-11-09</t>
        </is>
      </c>
    </row>
    <row r="241" ht="25.5" customHeight="1">
      <c r="A241" t="inlineStr">
        <is>
          <t>21天学霸飞轮系统训练营</t>
        </is>
      </c>
      <c r="B241" s="2" t="str">
        <f>=HYPERLINK("https://pan.quark.cn/s/9ca5d857e295", "https://pan.quark.cn/s/9ca5d857e295")</f>
        <v>https://pan.quark.cn/s/9ca5d857e295</v>
      </c>
      <c r="C241" t="inlineStr">
        <is>
          <t>4.7G</t>
        </is>
      </c>
      <c r="D241" t="inlineStr">
        <is>
          <t>/学霸/学习系统/21天/训练营/K12/大学生</t>
        </is>
      </c>
      <c r="E241" t="inlineStr">
        <is>
          <t>https://dcn8qexvg13r.feishu.cn/share/base/query/shrcnMqxwwRkV3NUIUxPeab3sec</t>
        </is>
      </c>
      <c r="F241" t="inlineStr">
        <is>
          <t>请添加微信：k846211</t>
        </is>
      </c>
      <c r="G241" t="inlineStr">
        <is>
          <t>2025-11-09</t>
        </is>
      </c>
    </row>
    <row r="242" ht="25.5" customHeight="1">
      <c r="A242" t="inlineStr">
        <is>
          <t>国家乒乓球队国手尹航教学课程</t>
        </is>
      </c>
      <c r="B242" s="2" t="str">
        <f>=HYPERLINK("https://pan.quark.cn/s/b9763f9b83a0", "https://pan.quark.cn/s/b9763f9b83a0")</f>
        <v>https://pan.quark.cn/s/b9763f9b83a0</v>
      </c>
      <c r="C242" t="inlineStr">
        <is>
          <t>6.8G</t>
        </is>
      </c>
      <c r="D242" t="inlineStr">
        <is>
          <t>/乒乓球/尹航/教学课程/技能入门/特定行业从业者</t>
        </is>
      </c>
      <c r="E242" t="inlineStr">
        <is>
          <t>https://dcn8qexvg13r.feishu.cn/share/base/query/shrcnMqxwwRkV3NUIUxPeab3sec</t>
        </is>
      </c>
      <c r="F242" t="inlineStr">
        <is>
          <t>请添加微信：k846211</t>
        </is>
      </c>
      <c r="G242" t="inlineStr">
        <is>
          <t>2025-11-09</t>
        </is>
      </c>
    </row>
    <row r="243" ht="25.5" customHeight="1">
      <c r="A243" t="inlineStr">
        <is>
          <t>吴晓波：中国商业经典案例100讲</t>
        </is>
      </c>
      <c r="B243" s="2" t="str">
        <f>=HYPERLINK("https://pan.quark.cn/s/a97eaf3eaf21", "https://pan.quark.cn/s/a97eaf3eaf21")</f>
        <v>https://pan.quark.cn/s/a97eaf3eaf21</v>
      </c>
      <c r="C243" t="inlineStr">
        <is>
          <t>285.5M</t>
        </is>
      </c>
      <c r="D243" t="inlineStr">
        <is>
          <t>/中国商业/案例分析/吴晓波/商业经典/管理者/特定行业从业者</t>
        </is>
      </c>
      <c r="E243" t="inlineStr">
        <is>
          <t>https://dcn8qexvg13r.feishu.cn/share/base/query/shrcnMqxwwRkV3NUIUxPeab3sec</t>
        </is>
      </c>
      <c r="F243" t="inlineStr">
        <is>
          <t>请添加微信：k846211</t>
        </is>
      </c>
      <c r="G243" t="inlineStr">
        <is>
          <t>2025-11-09</t>
        </is>
      </c>
    </row>
    <row r="244" ht="25.5" customHeight="1">
      <c r="A244" t="inlineStr">
        <is>
          <t>教师教学办公资源包大合集</t>
        </is>
      </c>
      <c r="B244" s="2" t="str">
        <f>=HYPERLINK("https://pan.quark.cn/s/287b8af9c01a", "https://pan.quark.cn/s/287b8af9c01a")</f>
        <v>https://pan.quark.cn/s/287b8af9c01a</v>
      </c>
      <c r="C244" t="inlineStr">
        <is>
          <t>93.1G</t>
        </is>
      </c>
      <c r="D244" t="inlineStr">
        <is>
          <t>/教师/教学/办公/资源包/K12/特定行业从业者</t>
        </is>
      </c>
      <c r="E244" t="inlineStr">
        <is>
          <t>https://dcn8qexvg13r.feishu.cn/share/base/query/shrcnMqxwwRkV3NUIUxPeab3sec</t>
        </is>
      </c>
      <c r="F244" t="inlineStr">
        <is>
          <t>请添加微信：k846211</t>
        </is>
      </c>
      <c r="G244" t="inlineStr">
        <is>
          <t>2025-11-09</t>
        </is>
      </c>
    </row>
    <row r="245" ht="25.5" customHeight="1">
      <c r="A245" t="inlineStr">
        <is>
          <t>4、中医养生</t>
        </is>
      </c>
      <c r="B245" s="2" t="str">
        <f>=HYPERLINK("https://pan.quark.cn/s/799e3a3d29d8", "https://pan.quark.cn/s/799e3a3d29d8")</f>
        <v>https://pan.quark.cn/s/799e3a3d29d8</v>
      </c>
      <c r="C245" t="inlineStr">
        <is>
          <t>83.6G</t>
        </is>
      </c>
      <c r="D245" t="inlineStr">
        <is>
          <t>/中医/养生/健康调理/生活方式/白领/宝妈/家长群体</t>
        </is>
      </c>
      <c r="E245" t="inlineStr">
        <is>
          <t>https://dcn8qexvg13r.feishu.cn/share/base/query/shrcnMqxwwRkV3NUIUxPeab3sec</t>
        </is>
      </c>
      <c r="F245" t="inlineStr">
        <is>
          <t>请添加微信：k846211</t>
        </is>
      </c>
      <c r="G245" t="inlineStr">
        <is>
          <t>2025-11-09</t>
        </is>
      </c>
    </row>
    <row r="246" ht="25.5" customHeight="1">
      <c r="A246" t="inlineStr">
        <is>
          <t>编程开发</t>
        </is>
      </c>
      <c r="B246" s="2" t="str">
        <f>=HYPERLINK("https://pan.quark.cn/s/c6b9b1fdb035", "https://pan.quark.cn/s/c6b9b1fdb035")</f>
        <v>https://pan.quark.cn/s/c6b9b1fdb035</v>
      </c>
      <c r="C246" t="inlineStr">
        <is>
          <t>967.8G</t>
        </is>
      </c>
      <c r="D246" t="inlineStr">
        <is>
          <t>/编程/开发/技能学习/技术提升/编程/大学生</t>
        </is>
      </c>
      <c r="E246" t="inlineStr">
        <is>
          <t>https://dcn8qexvg13r.feishu.cn/share/base/query/shrcnMqxwwRkV3NUIUxPeab3sec</t>
        </is>
      </c>
      <c r="F246" t="inlineStr">
        <is>
          <t>请添加微信：k846211</t>
        </is>
      </c>
      <c r="G246" t="inlineStr">
        <is>
          <t>2025-11-09</t>
        </is>
      </c>
    </row>
    <row r="247" ht="25.5" customHeight="1">
      <c r="A247" t="inlineStr">
        <is>
          <t>摄影剪辑</t>
        </is>
      </c>
      <c r="B247" s="2" t="str">
        <f>=HYPERLINK("https://pan.quark.cn/s/22f39df52dee", "https://pan.quark.cn/s/22f39df52dee")</f>
        <v>https://pan.quark.cn/s/22f39df52dee</v>
      </c>
      <c r="C247" t="inlineStr">
        <is>
          <t>2.5</t>
        </is>
      </c>
      <c r="D247" t="inlineStr">
        <is>
          <t>/摄影/剪辑/视频制作/技能入门/特定行业从业者/白领</t>
        </is>
      </c>
      <c r="E247" t="inlineStr">
        <is>
          <t>https://dcn8qexvg13r.feishu.cn/share/base/query/shrcnMqxwwRkV3NUIUxPeab3sec</t>
        </is>
      </c>
      <c r="F247" t="inlineStr">
        <is>
          <t>请添加微信：k846211</t>
        </is>
      </c>
      <c r="G247" t="inlineStr">
        <is>
          <t>2025-11-09</t>
        </is>
      </c>
    </row>
    <row r="248" ht="25.5" customHeight="1">
      <c r="A248" t="inlineStr">
        <is>
          <t>🔥网赚副业资料</t>
        </is>
      </c>
      <c r="B248" s="2" t="str">
        <f>=HYPERLINK("https://pan.quark.cn/s/054654813a91", "https://pan.quark.cn/s/054654813a91")</f>
        <v>https://pan.quark.cn/s/054654813a91</v>
      </c>
      <c r="C248" t="inlineStr">
        <is>
          <t>67.9G</t>
        </is>
      </c>
      <c r="D248" t="inlineStr">
        <is>
          <t>/网赚/副业/兼职赚钱/白领/大学生</t>
        </is>
      </c>
      <c r="E248" t="inlineStr">
        <is>
          <t>https://dcn8qexvg13r.feishu.cn/share/base/query/shrcnMqxwwRkV3NUIUxPeab3sec</t>
        </is>
      </c>
      <c r="F248" t="inlineStr">
        <is>
          <t>请添加微信：k846211</t>
        </is>
      </c>
      <c r="G248" t="inlineStr">
        <is>
          <t>2025-11-09</t>
        </is>
      </c>
    </row>
    <row r="249" ht="25.5" customHeight="1">
      <c r="A249" t="inlineStr">
        <is>
          <t>剪映多版本合集</t>
        </is>
      </c>
      <c r="B249" s="2" t="str">
        <f>=HYPERLINK("https://pan.quark.cn/s/ab3e31891542", "https://pan.quark.cn/s/ab3e31891542")</f>
        <v>https://pan.quark.cn/s/ab3e31891542</v>
      </c>
      <c r="C249" t="inlineStr">
        <is>
          <t>1.6G</t>
        </is>
      </c>
      <c r="D249" t="inlineStr">
        <is>
          <t>/剪映/多版本/视频编辑/技能入门/白领/特定行业从业者</t>
        </is>
      </c>
      <c r="E249" t="inlineStr">
        <is>
          <t>https://dcn8qexvg13r.feishu.cn/share/base/query/shrcnMqxwwRkV3NUIUxPeab3sec</t>
        </is>
      </c>
      <c r="F249" t="inlineStr">
        <is>
          <t>请添加微信：k846211</t>
        </is>
      </c>
      <c r="G249" t="inlineStr">
        <is>
          <t>2025-11-09</t>
        </is>
      </c>
    </row>
    <row r="250" ht="25.5" customHeight="1">
      <c r="A250" t="inlineStr">
        <is>
          <t>【52】医方精要系列丛书（全10册）（高清版）</t>
        </is>
      </c>
      <c r="B250" s="2" t="str">
        <f>=HYPERLINK("https://pan.quark.cn/s/237fb8a2cf3a", "https://pan.quark.cn/s/237fb8a2cf3a")</f>
        <v>https://pan.quark.cn/s/237fb8a2cf3a</v>
      </c>
      <c r="C250" t="inlineStr">
        <is>
          <t>103.2M</t>
        </is>
      </c>
      <c r="D250" t="inlineStr">
        <is>
          <t>/医方精要/医学/高清版/全10册/特定行业从业者</t>
        </is>
      </c>
      <c r="E250" t="inlineStr">
        <is>
          <t>https://dcn8qexvg13r.feishu.cn/share/base/query/shrcnMqxwwRkV3NUIUxPeab3sec</t>
        </is>
      </c>
      <c r="F250" t="inlineStr">
        <is>
          <t>请添加微信：k846211</t>
        </is>
      </c>
      <c r="G250" t="inlineStr">
        <is>
          <t>2025-11-09</t>
        </is>
      </c>
    </row>
    <row r="251" ht="25.5" customHeight="1">
      <c r="A251" t="inlineStr">
        <is>
          <t>Adobe Camera Raw 16.5</t>
        </is>
      </c>
      <c r="B251" s="2" t="str">
        <f>=HYPERLINK("https://pan.quark.cn/s/abc81de4ac9c", "https://pan.quark.cn/s/abc81de4ac9c")</f>
        <v>https://pan.quark.cn/s/abc81de4ac9c</v>
      </c>
      <c r="C251" t="inlineStr">
        <is>
          <t>1.1G</t>
        </is>
      </c>
      <c r="D251" t="inlineStr">
        <is>
          <t>/Adobe Camera Raw/图像处理/RAW格式编辑/摄影后期/特定行业从业者</t>
        </is>
      </c>
      <c r="E251" t="inlineStr">
        <is>
          <t>https://dcn8qexvg13r.feishu.cn/share/base/query/shrcnMqxwwRkV3NUIUxPeab3sec</t>
        </is>
      </c>
      <c r="F251" t="inlineStr">
        <is>
          <t>请添加微信：k846211</t>
        </is>
      </c>
      <c r="G251" t="inlineStr">
        <is>
          <t>2025-11-09</t>
        </is>
      </c>
    </row>
    <row r="252" ht="25.5" customHeight="1">
      <c r="A252" t="inlineStr">
        <is>
          <t>大师级预设打包232套16888+款 LR预设PS滤镜PR调色手机Lightroom达芬奇FCPX剪映视频LUT.rar</t>
        </is>
      </c>
      <c r="B252" s="2" t="str">
        <f>=HYPERLINK("https://pan.quark.cn/s/12d7d3614e50", "https://pan.quark.cn/s/12d7d3614e50")</f>
        <v>https://pan.quark.cn/s/12d7d3614e50</v>
      </c>
      <c r="C252" t="inlineStr">
        <is>
          <t>3.4G</t>
        </is>
      </c>
      <c r="D252" t="inlineStr">
        <is>
          <t>/调色预设/LUT/PS滤镜/Lightroom/特定行业从业者/设计素材</t>
        </is>
      </c>
      <c r="E252" t="inlineStr">
        <is>
          <t>https://dcn8qexvg13r.feishu.cn/share/base/query/shrcnMqxwwRkV3NUIUxPeab3sec</t>
        </is>
      </c>
      <c r="F252" t="inlineStr">
        <is>
          <t>请添加微信：k846211</t>
        </is>
      </c>
      <c r="G252" t="inlineStr">
        <is>
          <t>2025-11-09</t>
        </is>
      </c>
    </row>
    <row r="253" ht="25.5" customHeight="1">
      <c r="A253" t="inlineStr">
        <is>
          <t>ACR插件Camera Raw 17.1下载PS滤镜插件</t>
        </is>
      </c>
      <c r="B253" s="2" t="str">
        <f>=HYPERLINK("https://pan.quark.cn/s/418531f15c47", "https://pan.quark.cn/s/418531f15c47")</f>
        <v>https://pan.quark.cn/s/418531f15c47</v>
      </c>
      <c r="C253" t="inlineStr">
        <is>
          <t>4.6G</t>
        </is>
      </c>
      <c r="D253" t="inlineStr">
        <is>
          <t>/Camera Raw/PS滤镜/插件下载/图像处理/特定行业从业者/设计素材</t>
        </is>
      </c>
      <c r="E253" t="inlineStr">
        <is>
          <t>https://dcn8qexvg13r.feishu.cn/share/base/query/shrcnMqxwwRkV3NUIUxPeab3sec</t>
        </is>
      </c>
      <c r="F253" t="inlineStr">
        <is>
          <t>请添加微信：k846211</t>
        </is>
      </c>
      <c r="G253" t="inlineStr">
        <is>
          <t>2025-11-09</t>
        </is>
      </c>
    </row>
    <row r="254" ht="25.5" customHeight="1">
      <c r="A254" t="inlineStr">
        <is>
          <t>Photoshop CS6 精简版</t>
        </is>
      </c>
      <c r="B254" s="2" t="str">
        <f>=HYPERLINK("https://pan.quark.cn/s/14801fed67c5", "https://pan.quark.cn/s/14801fed67c5")</f>
        <v>https://pan.quark.cn/s/14801fed67c5</v>
      </c>
      <c r="C254" t="inlineStr">
        <is>
          <t>42.7M</t>
        </is>
      </c>
      <c r="D254" t="inlineStr">
        <is>
          <t>/Photoshop/图像处理/精简版/设计工具/特定行业从业者/技能入门</t>
        </is>
      </c>
      <c r="E254" t="inlineStr">
        <is>
          <t>https://dcn8qexvg13r.feishu.cn/share/base/query/shrcnMqxwwRkV3NUIUxPeab3sec</t>
        </is>
      </c>
      <c r="F254" t="inlineStr">
        <is>
          <t>请添加微信：k846211</t>
        </is>
      </c>
      <c r="G254" t="inlineStr">
        <is>
          <t>2025-11-09</t>
        </is>
      </c>
    </row>
    <row r="255" ht="25.5" customHeight="1">
      <c r="A255" t="inlineStr">
        <is>
          <t>自学大全：送给所有不想放弃学习的人55个自学方法 -读书猴</t>
        </is>
      </c>
      <c r="B255" s="2" t="str">
        <f>=HYPERLINK("https://pan.quark.cn/s/01cf9628d457", "https://pan.quark.cn/s/01cf9628d457")</f>
        <v>https://pan.quark.cn/s/01cf9628d457</v>
      </c>
      <c r="C255" t="inlineStr">
        <is>
          <t>49.7M</t>
        </is>
      </c>
      <c r="D255" t="inlineStr">
        <is>
          <t>/自学方法/学习指南/自我提升/大学生/白领/考研/考公/考证党</t>
        </is>
      </c>
      <c r="E255" t="inlineStr">
        <is>
          <t>https://dcn8qexvg13r.feishu.cn/share/base/query/shrcnMqxwwRkV3NUIUxPeab3sec</t>
        </is>
      </c>
      <c r="F255" t="inlineStr">
        <is>
          <t>请添加微信：k846211</t>
        </is>
      </c>
      <c r="G255" t="inlineStr">
        <is>
          <t>2025-11-09</t>
        </is>
      </c>
    </row>
    <row r="256" ht="25.5" customHeight="1">
      <c r="A256" t="inlineStr">
        <is>
          <t>塔罗牌占卜教程15本合集</t>
        </is>
      </c>
      <c r="B256" s="2" t="str">
        <f>=HYPERLINK("https://pan.quark.cn/s/471a3f94355f", "https://pan.quark.cn/s/471a3f94355f")</f>
        <v>https://pan.quark.cn/s/471a3f94355f</v>
      </c>
      <c r="C256" t="inlineStr">
        <is>
          <t>101M</t>
        </is>
      </c>
      <c r="D256" t="inlineStr">
        <is>
          <t>/塔罗牌/占卜/教程/占卜教程/其他</t>
        </is>
      </c>
      <c r="E256" t="inlineStr">
        <is>
          <t>https://dcn8qexvg13r.feishu.cn/share/base/query/shrcnMqxwwRkV3NUIUxPeab3sec</t>
        </is>
      </c>
      <c r="F256" t="inlineStr">
        <is>
          <t>请添加微信：k846211</t>
        </is>
      </c>
      <c r="G256" t="inlineStr">
        <is>
          <t>2025-11-09</t>
        </is>
      </c>
    </row>
    <row r="257" ht="25.5" customHeight="1">
      <c r="A257" t="inlineStr">
        <is>
          <t>【中医书籍2000本】</t>
        </is>
      </c>
      <c r="B257" s="2" t="str">
        <f>=HYPERLINK("https://pan.quark.cn/s/5b0e401aee36", "https://pan.quark.cn/s/5b0e401aee36")</f>
        <v>https://pan.quark.cn/s/5b0e401aee36</v>
      </c>
      <c r="C257" t="inlineStr">
        <is>
          <t>52K</t>
        </is>
      </c>
      <c r="D257" t="inlineStr">
        <is>
          <t>/中医/书籍/医学/健康/特定行业从业者</t>
        </is>
      </c>
      <c r="E257" t="inlineStr">
        <is>
          <t>https://dcn8qexvg13r.feishu.cn/share/base/query/shrcnMqxwwRkV3NUIUxPeab3sec</t>
        </is>
      </c>
      <c r="F257" t="inlineStr">
        <is>
          <t>请添加微信：k846211</t>
        </is>
      </c>
      <c r="G257" t="inlineStr">
        <is>
          <t>2025-11-09</t>
        </is>
      </c>
    </row>
    <row r="258" ht="25.5" customHeight="1">
      <c r="A258" t="inlineStr">
        <is>
          <t>《中医教材第五版》全25册 PDF格式 可打印</t>
        </is>
      </c>
      <c r="B258" s="2" t="str">
        <f>=HYPERLINK("https://pan.quark.cn/s/3de5419defa1", "https://pan.quark.cn/s/3de5419defa1")</f>
        <v>https://pan.quark.cn/s/3de5419defa1</v>
      </c>
      <c r="C258" t="inlineStr">
        <is>
          <t>353.1M</t>
        </is>
      </c>
      <c r="D258" t="inlineStr">
        <is>
          <t>/中医/教材/第五版/可打印/大学生/特定行业从业者</t>
        </is>
      </c>
      <c r="E258" t="inlineStr">
        <is>
          <t>https://dcn8qexvg13r.feishu.cn/share/base/query/shrcnMqxwwRkV3NUIUxPeab3sec</t>
        </is>
      </c>
      <c r="F258" t="inlineStr">
        <is>
          <t>请添加微信：k846211</t>
        </is>
      </c>
      <c r="G258" t="inlineStr">
        <is>
          <t>2025-11-09</t>
        </is>
      </c>
    </row>
    <row r="259" ht="25.5" customHeight="1">
      <c r="A259" t="inlineStr">
        <is>
          <t>【07】中医教材（供中医类专业用，33部全）</t>
        </is>
      </c>
      <c r="B259" s="2" t="str">
        <f>=HYPERLINK("https://pan.quark.cn/s/51ca1eaecb6b", "https://pan.quark.cn/s/51ca1eaecb6b")</f>
        <v>https://pan.quark.cn/s/51ca1eaecb6b</v>
      </c>
      <c r="C259" t="inlineStr">
        <is>
          <t>237.2M</t>
        </is>
      </c>
      <c r="D259" t="inlineStr">
        <is>
          <t>/中医/教材/中医专业/大学生/特定行业从业者</t>
        </is>
      </c>
      <c r="E259" t="inlineStr">
        <is>
          <t>https://dcn8qexvg13r.feishu.cn/share/base/query/shrcnMqxwwRkV3NUIUxPeab3sec</t>
        </is>
      </c>
      <c r="F259" t="inlineStr">
        <is>
          <t>请添加微信：k846211</t>
        </is>
      </c>
      <c r="G259" t="inlineStr">
        <is>
          <t>2025-11-09</t>
        </is>
      </c>
    </row>
    <row r="260" ht="25.5" customHeight="1">
      <c r="A260" t="inlineStr">
        <is>
          <t>小红书.apk</t>
        </is>
      </c>
      <c r="B260" s="2" t="str">
        <f>=HYPERLINK("https://pan.quark.cn/s/a90f045fc2cd", "https://pan.quark.cn/s/a90f045fc2cd")</f>
        <v>https://pan.quark.cn/s/a90f045fc2cd</v>
      </c>
      <c r="C260" t="inlineStr">
        <is>
          <t>获取失败</t>
        </is>
      </c>
      <c r="D260" t="inlineStr">
        <is>
          <t>/生活分享/社交平台/短视频/电商购物/大学生/白领</t>
        </is>
      </c>
      <c r="E260" t="inlineStr">
        <is>
          <t>https://dcn8qexvg13r.feishu.cn/share/base/query/shrcnMqxwwRkV3NUIUxPeab3sec</t>
        </is>
      </c>
      <c r="F260" t="inlineStr">
        <is>
          <t>请添加微信：k846211</t>
        </is>
      </c>
      <c r="G260" t="inlineStr">
        <is>
          <t>2025-11-09</t>
        </is>
      </c>
    </row>
    <row r="261" ht="25.5" customHeight="1">
      <c r="A261" t="inlineStr">
        <is>
          <t>全新·3D人体解剖图_坂井建雄_河北科技_全彩扫描版.pdf</t>
        </is>
      </c>
      <c r="B261" s="2" t="str">
        <f>=HYPERLINK("https://pan.quark.cn/s/a840488770e9", "https://pan.quark.cn/s/a840488770e9")</f>
        <v>https://pan.quark.cn/s/a840488770e9</v>
      </c>
      <c r="C261" t="inlineStr">
        <is>
          <t>58.5M</t>
        </is>
      </c>
      <c r="D261" t="inlineStr">
        <is>
          <t>/3D人体解剖/解剖图/全彩扫描版/医学/特定行业从业者/大学生</t>
        </is>
      </c>
      <c r="E261" t="inlineStr">
        <is>
          <t>https://dcn8qexvg13r.feishu.cn/share/base/query/shrcnMqxwwRkV3NUIUxPeab3sec</t>
        </is>
      </c>
      <c r="F261" t="inlineStr">
        <is>
          <t>请添加微信：k846211</t>
        </is>
      </c>
      <c r="G261" t="inlineStr">
        <is>
          <t>2025-11-09</t>
        </is>
      </c>
    </row>
    <row r="262" ht="25.5" customHeight="1">
      <c r="A262" t="inlineStr">
        <is>
          <t>阅读理解24个万能公式.pdf</t>
        </is>
      </c>
      <c r="B262" s="2" t="str">
        <f>=HYPERLINK("https://pan.quark.cn/s/0b893cb692d5", "https://pan.quark.cn/s/0b893cb692d5")</f>
        <v>https://pan.quark.cn/s/0b893cb692d5</v>
      </c>
      <c r="C262" t="inlineStr">
        <is>
          <t>253.4K</t>
        </is>
      </c>
      <c r="D262" t="inlineStr">
        <is>
          <t>/阅读理解/万能公式/学习方法/K12/考研/考公/考证党</t>
        </is>
      </c>
      <c r="E262" t="inlineStr">
        <is>
          <t>https://dcn8qexvg13r.feishu.cn/share/base/query/shrcnMqxwwRkV3NUIUxPeab3sec</t>
        </is>
      </c>
      <c r="F262" t="inlineStr">
        <is>
          <t>请添加微信：k846211</t>
        </is>
      </c>
      <c r="G262" t="inlineStr">
        <is>
          <t>2025-11-10</t>
        </is>
      </c>
    </row>
    <row r="263" ht="25.5" customHeight="1">
      <c r="A263" t="inlineStr">
        <is>
          <t>🍎⭐️期中知识汇总语文25年上册</t>
        </is>
      </c>
      <c r="B263" s="2" t="str">
        <f>=HYPERLINK("https://pan.quark.cn/s/22318834bb2d", "https://pan.quark.cn/s/22318834bb2d")</f>
        <v>https://pan.quark.cn/s/22318834bb2d</v>
      </c>
      <c r="C263" t="inlineStr">
        <is>
          <t>478.2M</t>
        </is>
      </c>
      <c r="D263" t="inlineStr">
        <is>
          <t>/语文/期中/知识汇总/25年上册/K12/学龄儿童家长</t>
        </is>
      </c>
      <c r="E263" t="inlineStr">
        <is>
          <t>https://dcn8qexvg13r.feishu.cn/share/base/query/shrcnMqxwwRkV3NUIUxPeab3sec</t>
        </is>
      </c>
      <c r="F263" t="inlineStr">
        <is>
          <t>请添加微信：k846211</t>
        </is>
      </c>
      <c r="G263" t="inlineStr">
        <is>
          <t>2025-11-10</t>
        </is>
      </c>
    </row>
    <row r="264" ht="25.5" customHeight="1">
      <c r="A264" t="inlineStr">
        <is>
          <t>少年得到系列</t>
        </is>
      </c>
      <c r="B264" s="2" t="str">
        <f>=HYPERLINK("https://pan.quark.cn/s/bb5c626cadbb", "https://pan.quark.cn/s/bb5c626cadbb")</f>
        <v>https://pan.quark.cn/s/bb5c626cadbb</v>
      </c>
      <c r="C264" t="inlineStr">
        <is>
          <t>10.8G</t>
        </is>
      </c>
      <c r="D264" t="inlineStr">
        <is>
          <t>/少年教育/内容系列/知识学习/K12/学龄儿童家长</t>
        </is>
      </c>
      <c r="E264" t="inlineStr">
        <is>
          <t>https://dcn8qexvg13r.feishu.cn/share/base/query/shrcnMqxwwRkV3NUIUxPeab3sec</t>
        </is>
      </c>
      <c r="F264" t="inlineStr">
        <is>
          <t>请添加微信：k846211</t>
        </is>
      </c>
      <c r="G264" t="inlineStr">
        <is>
          <t>2025-11-10</t>
        </is>
      </c>
    </row>
    <row r="265" ht="25.5" customHeight="1">
      <c r="A265" t="inlineStr">
        <is>
          <t>二上册语文期末背诵与积累复习小卡片（9页）.pdf</t>
        </is>
      </c>
      <c r="B265" s="2" t="str">
        <f>=HYPERLINK("https://pan.quark.cn/s/0f808b4931f8", "https://pan.quark.cn/s/0f808b4931f8")</f>
        <v>https://pan.quark.cn/s/0f808b4931f8</v>
      </c>
      <c r="C265" t="inlineStr">
        <is>
          <t>733.1K</t>
        </is>
      </c>
      <c r="D265" t="inlineStr">
        <is>
          <t>/语文/期末复习/背诵积累/小卡片/K12/学龄儿童家长</t>
        </is>
      </c>
      <c r="E265" t="inlineStr">
        <is>
          <t>https://dcn8qexvg13r.feishu.cn/share/base/query/shrcnMqxwwRkV3NUIUxPeab3sec</t>
        </is>
      </c>
      <c r="F265" t="inlineStr">
        <is>
          <t>请添加微信：k846211</t>
        </is>
      </c>
      <c r="G265" t="inlineStr">
        <is>
          <t>2025-11-10</t>
        </is>
      </c>
    </row>
    <row r="266" ht="25.5" customHeight="1">
      <c r="A266" t="inlineStr">
        <is>
          <t>二上数学必做思维训练题20套（含答案40页）.pdf</t>
        </is>
      </c>
      <c r="B266" s="2" t="str">
        <f>=HYPERLINK("https://pan.quark.cn/s/798421badaef", "https://pan.quark.cn/s/798421badaef")</f>
        <v>https://pan.quark.cn/s/798421badaef</v>
      </c>
      <c r="C266" t="inlineStr">
        <is>
          <t>10.5M</t>
        </is>
      </c>
      <c r="D266" t="inlineStr">
        <is>
          <t>/二年级数学/思维训练/习题集/答案解析/K12/学龄儿童家长</t>
        </is>
      </c>
      <c r="E266" t="inlineStr">
        <is>
          <t>https://dcn8qexvg13r.feishu.cn/share/base/query/shrcnMqxwwRkV3NUIUxPeab3sec</t>
        </is>
      </c>
      <c r="F266" t="inlineStr">
        <is>
          <t>请添加微信：k846211</t>
        </is>
      </c>
      <c r="G266" t="inlineStr">
        <is>
          <t>2025-11-10</t>
        </is>
      </c>
    </row>
    <row r="267" ht="25.5" customHeight="1">
      <c r="A267" t="inlineStr">
        <is>
          <t>二上数学历年期末常考30题.pdf</t>
        </is>
      </c>
      <c r="B267" s="2" t="str">
        <f>=HYPERLINK("https://pan.quark.cn/s/4b9cae0c3ccd", "https://pan.quark.cn/s/4b9cae0c3ccd")</f>
        <v>https://pan.quark.cn/s/4b9cae0c3ccd</v>
      </c>
      <c r="C267" t="inlineStr">
        <is>
          <t>4M</t>
        </is>
      </c>
      <c r="D267" t="inlineStr">
        <is>
          <t>/二年级数学/期末复习/常考习题/K12/学龄儿童家长</t>
        </is>
      </c>
      <c r="E267" t="inlineStr">
        <is>
          <t>https://dcn8qexvg13r.feishu.cn/share/base/query/shrcnMqxwwRkV3NUIUxPeab3sec</t>
        </is>
      </c>
      <c r="F267" t="inlineStr">
        <is>
          <t>请添加微信：k846211</t>
        </is>
      </c>
      <c r="G267" t="inlineStr">
        <is>
          <t>2025-11-10</t>
        </is>
      </c>
    </row>
    <row r="268" ht="25.5" customHeight="1">
      <c r="A268" t="inlineStr">
        <is>
          <t>二上语文期末复习重点考点默写（练习+答案30页）.pdf</t>
        </is>
      </c>
      <c r="B268" s="2" t="str">
        <f>=HYPERLINK("https://pan.quark.cn/s/ce4f581d6e72", "https://pan.quark.cn/s/ce4f581d6e72")</f>
        <v>https://pan.quark.cn/s/ce4f581d6e72</v>
      </c>
      <c r="C268" t="inlineStr">
        <is>
          <t>16.5M</t>
        </is>
      </c>
      <c r="D268" t="inlineStr">
        <is>
          <t>/二年级语文/期末复习/考点默写/练习答案/K12/学龄儿童家长</t>
        </is>
      </c>
      <c r="E268" t="inlineStr">
        <is>
          <t>https://dcn8qexvg13r.feishu.cn/share/base/query/shrcnMqxwwRkV3NUIUxPeab3sec</t>
        </is>
      </c>
      <c r="F268" t="inlineStr">
        <is>
          <t>请添加微信：k846211</t>
        </is>
      </c>
      <c r="G268" t="inlineStr">
        <is>
          <t>2025-11-10</t>
        </is>
      </c>
    </row>
    <row r="269" ht="25.5" customHeight="1">
      <c r="A269" t="inlineStr">
        <is>
          <t>1年级小红书最新热门资料</t>
        </is>
      </c>
      <c r="B269" s="2" t="str">
        <f>=HYPERLINK("https://pan.quark.cn/s/af745385f0d9", "https://pan.quark.cn/s/af745385f0d9")</f>
        <v>https://pan.quark.cn/s/af745385f0d9</v>
      </c>
      <c r="C269" t="inlineStr">
        <is>
          <t>126.8M</t>
        </is>
      </c>
      <c r="D269" t="inlineStr">
        <is>
          <t>/1年级/小红书/热门/学龄儿童家长/宝妈/家长群体</t>
        </is>
      </c>
      <c r="E269" t="inlineStr">
        <is>
          <t>https://dcn8qexvg13r.feishu.cn/share/base/query/shrcnMqxwwRkV3NUIUxPeab3sec</t>
        </is>
      </c>
      <c r="F269" t="inlineStr">
        <is>
          <t>请添加微信：k846211</t>
        </is>
      </c>
      <c r="G269" t="inlineStr">
        <is>
          <t>2025-11-10</t>
        </is>
      </c>
    </row>
    <row r="270" ht="25.5" customHeight="1">
      <c r="A270" t="inlineStr">
        <is>
          <t>2年级小红书最新热门资料</t>
        </is>
      </c>
      <c r="B270" s="2" t="str">
        <f>=HYPERLINK("https://pan.quark.cn/s/cb23ff78fa9b", "https://pan.quark.cn/s/cb23ff78fa9b")</f>
        <v>https://pan.quark.cn/s/cb23ff78fa9b</v>
      </c>
      <c r="C270" t="inlineStr">
        <is>
          <t>101.2M</t>
        </is>
      </c>
      <c r="D270" t="inlineStr">
        <is>
          <t>/2年级/小红书/热门/K12/学龄儿童家长</t>
        </is>
      </c>
      <c r="E270" t="inlineStr">
        <is>
          <t>https://dcn8qexvg13r.feishu.cn/share/base/query/shrcnMqxwwRkV3NUIUxPeab3sec</t>
        </is>
      </c>
      <c r="F270" t="inlineStr">
        <is>
          <t>请添加微信：k846211</t>
        </is>
      </c>
      <c r="G270" t="inlineStr">
        <is>
          <t>2025-11-10</t>
        </is>
      </c>
    </row>
    <row r="271" ht="25.5" customHeight="1">
      <c r="A271" t="inlineStr">
        <is>
          <t>3年级小红书最新热门资料</t>
        </is>
      </c>
      <c r="B271" s="2" t="str">
        <f>=HYPERLINK("https://pan.quark.cn/s/fa41eb789258", "https://pan.quark.cn/s/fa41eb789258")</f>
        <v>https://pan.quark.cn/s/fa41eb789258</v>
      </c>
      <c r="C271" t="inlineStr">
        <is>
          <t>36.1M</t>
        </is>
      </c>
      <c r="D271" t="inlineStr">
        <is>
          <t>/3年级/小红书热门/学龄儿童家长</t>
        </is>
      </c>
      <c r="E271" t="inlineStr">
        <is>
          <t>https://dcn8qexvg13r.feishu.cn/share/base/query/shrcnMqxwwRkV3NUIUxPeab3sec</t>
        </is>
      </c>
      <c r="F271" t="inlineStr">
        <is>
          <t>请添加微信：k846211</t>
        </is>
      </c>
      <c r="G271" t="inlineStr">
        <is>
          <t>2025-11-10</t>
        </is>
      </c>
    </row>
    <row r="272" ht="25.5" customHeight="1">
      <c r="A272" t="inlineStr">
        <is>
          <t>4年级小红书最新热门资料</t>
        </is>
      </c>
      <c r="B272" s="2" t="str">
        <f>=HYPERLINK("https://pan.quark.cn/s/873a82100284", "https://pan.quark.cn/s/873a82100284")</f>
        <v>https://pan.quark.cn/s/873a82100284</v>
      </c>
      <c r="C272" t="inlineStr">
        <is>
          <t>107.4M</t>
        </is>
      </c>
      <c r="D272" t="inlineStr">
        <is>
          <t>/4年级/小红书/热门/K12/学龄儿童家长</t>
        </is>
      </c>
      <c r="E272" t="inlineStr">
        <is>
          <t>https://dcn8qexvg13r.feishu.cn/share/base/query/shrcnMqxwwRkV3NUIUxPeab3sec</t>
        </is>
      </c>
      <c r="F272" t="inlineStr">
        <is>
          <t>请添加微信：k846211</t>
        </is>
      </c>
      <c r="G272" t="inlineStr">
        <is>
          <t>2025-11-10</t>
        </is>
      </c>
    </row>
    <row r="273" ht="25.5" customHeight="1">
      <c r="A273" t="inlineStr">
        <is>
          <t>5年级小红书最新热门资料</t>
        </is>
      </c>
      <c r="B273" s="2" t="str">
        <f>=HYPERLINK("https://pan.quark.cn/s/fae32c39e9a3", "https://pan.quark.cn/s/fae32c39e9a3")</f>
        <v>https://pan.quark.cn/s/fae32c39e9a3</v>
      </c>
      <c r="C273" t="inlineStr">
        <is>
          <t>38.8M</t>
        </is>
      </c>
      <c r="D273" t="inlineStr">
        <is>
          <t>/5年级/热门/小红书/K12/学龄儿童家长</t>
        </is>
      </c>
      <c r="E273" t="inlineStr">
        <is>
          <t>https://dcn8qexvg13r.feishu.cn/share/base/query/shrcnMqxwwRkV3NUIUxPeab3sec</t>
        </is>
      </c>
      <c r="F273" t="inlineStr">
        <is>
          <t>请添加微信：k846211</t>
        </is>
      </c>
      <c r="G273" t="inlineStr">
        <is>
          <t>2025-11-10</t>
        </is>
      </c>
    </row>
    <row r="274" ht="25.5" customHeight="1">
      <c r="A274" t="inlineStr">
        <is>
          <t>《必背知识点汇总》 1-6上册</t>
        </is>
      </c>
      <c r="B274" s="2" t="str">
        <f>=HYPERLINK("https://pan.quark.cn/s/32da217e804a", "https://pan.quark.cn/s/32da217e804a")</f>
        <v>https://pan.quark.cn/s/32da217e804a</v>
      </c>
      <c r="C274" t="inlineStr">
        <is>
          <t>27.1M</t>
        </is>
      </c>
      <c r="D274" t="inlineStr">
        <is>
          <t>/知识点汇总/必背/1-6年级/K12/学龄儿童家长</t>
        </is>
      </c>
      <c r="E274" t="inlineStr">
        <is>
          <t>https://dcn8qexvg13r.feishu.cn/share/base/query/shrcnMqxwwRkV3NUIUxPeab3sec</t>
        </is>
      </c>
      <c r="F274" t="inlineStr">
        <is>
          <t>请添加微信：k846211</t>
        </is>
      </c>
      <c r="G274" t="inlineStr">
        <is>
          <t>2025-11-10</t>
        </is>
      </c>
    </row>
    <row r="275" ht="25.5" customHeight="1">
      <c r="A275" t="inlineStr">
        <is>
          <t>《高频考点知识汇总》 1-6上册</t>
        </is>
      </c>
      <c r="B275" s="2" t="str">
        <f>=HYPERLINK("https://pan.quark.cn/s/2d9efaeb3665", "https://pan.quark.cn/s/2d9efaeb3665")</f>
        <v>https://pan.quark.cn/s/2d9efaeb3665</v>
      </c>
      <c r="C275" t="inlineStr">
        <is>
          <t>7M</t>
        </is>
      </c>
      <c r="D275" t="inlineStr">
        <is>
          <t>/高频考点/知识汇总/1-6年级/K12/学龄儿童家长</t>
        </is>
      </c>
      <c r="E275" t="inlineStr">
        <is>
          <t>https://dcn8qexvg13r.feishu.cn/share/base/query/shrcnMqxwwRkV3NUIUxPeab3sec</t>
        </is>
      </c>
      <c r="F275" t="inlineStr">
        <is>
          <t>请添加微信：k846211</t>
        </is>
      </c>
      <c r="G275" t="inlineStr">
        <is>
          <t>2025-11-10</t>
        </is>
      </c>
    </row>
    <row r="276" ht="25.5" customHeight="1">
      <c r="A276" t="inlineStr">
        <is>
          <t>《基础知识专项复习》 1-6上册</t>
        </is>
      </c>
      <c r="B276" s="2" t="str">
        <f>=HYPERLINK("https://pan.quark.cn/s/e3a313a73924", "https://pan.quark.cn/s/e3a313a73924")</f>
        <v>https://pan.quark.cn/s/e3a313a73924</v>
      </c>
      <c r="C276" t="inlineStr">
        <is>
          <t>103.2M</t>
        </is>
      </c>
      <c r="D276" t="inlineStr">
        <is>
          <t>/基础知识/专项复习/1-6年级/K12/学龄儿童家长</t>
        </is>
      </c>
      <c r="E276" t="inlineStr">
        <is>
          <t>https://dcn8qexvg13r.feishu.cn/share/base/query/shrcnMqxwwRkV3NUIUxPeab3sec</t>
        </is>
      </c>
      <c r="F276" t="inlineStr">
        <is>
          <t>请添加微信：k846211</t>
        </is>
      </c>
      <c r="G276" t="inlineStr">
        <is>
          <t>2025-11-10</t>
        </is>
      </c>
    </row>
    <row r="277" ht="25.5" customHeight="1">
      <c r="A277" t="inlineStr">
        <is>
          <t>《基础知识专项训练》1-6上册</t>
        </is>
      </c>
      <c r="B277" s="2" t="str">
        <f>=HYPERLINK("https://pan.quark.cn/s/24c33bd9cd25", "https://pan.quark.cn/s/24c33bd9cd25")</f>
        <v>https://pan.quark.cn/s/24c33bd9cd25</v>
      </c>
      <c r="C277" t="inlineStr">
        <is>
          <t>22.5M</t>
        </is>
      </c>
      <c r="D277" t="inlineStr">
        <is>
          <t>/基础知识/专项训练/1-6年级/上册/K12/学龄儿童家长</t>
        </is>
      </c>
      <c r="E277" t="inlineStr">
        <is>
          <t>https://dcn8qexvg13r.feishu.cn/share/base/query/shrcnMqxwwRkV3NUIUxPeab3sec</t>
        </is>
      </c>
      <c r="F277" t="inlineStr">
        <is>
          <t>请添加微信：k846211</t>
        </is>
      </c>
      <c r="G277" t="inlineStr">
        <is>
          <t>2025-11-10</t>
        </is>
      </c>
    </row>
    <row r="278" ht="25.5" customHeight="1">
      <c r="A278" t="inlineStr">
        <is>
          <t>《期中知识点复习小卡片》 1-6上册</t>
        </is>
      </c>
      <c r="B278" s="2" t="str">
        <f>=HYPERLINK("https://pan.quark.cn/s/78addb963dd5", "https://pan.quark.cn/s/78addb963dd5")</f>
        <v>https://pan.quark.cn/s/78addb963dd5</v>
      </c>
      <c r="C278" t="inlineStr">
        <is>
          <t>6.2M</t>
        </is>
      </c>
      <c r="D278" t="inlineStr">
        <is>
          <t>/期中复习/知识点/小卡片/1-6年级/K12/学龄儿童家长</t>
        </is>
      </c>
      <c r="E278" t="inlineStr">
        <is>
          <t>https://dcn8qexvg13r.feishu.cn/share/base/query/shrcnMqxwwRkV3NUIUxPeab3sec</t>
        </is>
      </c>
      <c r="F278" t="inlineStr">
        <is>
          <t>请添加微信：k846211</t>
        </is>
      </c>
      <c r="G278" t="inlineStr">
        <is>
          <t>2025-11-10</t>
        </is>
      </c>
    </row>
    <row r="279" ht="25.5" customHeight="1">
      <c r="A279" t="inlineStr">
        <is>
          <t>《要点背记卡+拔高习题》 1-6上册</t>
        </is>
      </c>
      <c r="B279" s="2" t="str">
        <f>=HYPERLINK("https://pan.quark.cn/s/43beb96cccd8", "https://pan.quark.cn/s/43beb96cccd8")</f>
        <v>https://pan.quark.cn/s/43beb96cccd8</v>
      </c>
      <c r="C279" t="inlineStr">
        <is>
          <t>173.8M</t>
        </is>
      </c>
      <c r="D279" t="inlineStr">
        <is>
          <t>/要点背记/拔高习题/1-6年级/上册/K12/学龄儿童家长</t>
        </is>
      </c>
      <c r="E279" t="inlineStr">
        <is>
          <t>https://dcn8qexvg13r.feishu.cn/share/base/query/shrcnMqxwwRkV3NUIUxPeab3sec</t>
        </is>
      </c>
      <c r="F279" t="inlineStr">
        <is>
          <t>请添加微信：k846211</t>
        </is>
      </c>
      <c r="G279" t="inlineStr">
        <is>
          <t>2025-11-10</t>
        </is>
      </c>
    </row>
    <row r="280" ht="25.5" customHeight="1">
      <c r="A280" t="inlineStr">
        <is>
          <t>少先队大队委竞选演讲稿.docx</t>
        </is>
      </c>
      <c r="B280" s="2" t="str">
        <f>=HYPERLINK("https://pan.quark.cn/s/f134dd72abc6", "https://pan.quark.cn/s/f134dd72abc6")</f>
        <v>https://pan.quark.cn/s/f134dd72abc6</v>
      </c>
      <c r="C280" t="inlineStr">
        <is>
          <t>18.2K</t>
        </is>
      </c>
      <c r="D280" t="inlineStr">
        <is>
          <t>/少先队/大队委/竞选/演讲稿/K12/学龄儿童家长</t>
        </is>
      </c>
      <c r="E280" t="inlineStr">
        <is>
          <t>https://dcn8qexvg13r.feishu.cn/share/base/query/shrcnMqxwwRkV3NUIUxPeab3sec</t>
        </is>
      </c>
      <c r="F280" t="inlineStr">
        <is>
          <t>请添加微信：k846211</t>
        </is>
      </c>
      <c r="G280" t="inlineStr">
        <is>
          <t>2025-11-10</t>
        </is>
      </c>
    </row>
    <row r="281" ht="25.5" customHeight="1">
      <c r="A281" t="inlineStr">
        <is>
          <t>YMO杯赛真题</t>
        </is>
      </c>
      <c r="B281" s="2" t="str">
        <f>=HYPERLINK("https://pan.quark.cn/s/fcde6278ea6e", "https://pan.quark.cn/s/fcde6278ea6e")</f>
        <v>https://pan.quark.cn/s/fcde6278ea6e</v>
      </c>
      <c r="C281" t="inlineStr">
        <is>
          <t>175.4M</t>
        </is>
      </c>
      <c r="D281" t="inlineStr">
        <is>
          <t>/杯赛/真题/YMO/K12/学龄儿童家长</t>
        </is>
      </c>
      <c r="E281" t="inlineStr">
        <is>
          <t>https://dcn8qexvg13r.feishu.cn/share/base/query/shrcnMqxwwRkV3NUIUxPeab3sec</t>
        </is>
      </c>
      <c r="F281" t="inlineStr">
        <is>
          <t>请添加微信：k846211</t>
        </is>
      </c>
      <c r="G281" t="inlineStr">
        <is>
          <t>2025-11-10</t>
        </is>
      </c>
    </row>
    <row r="282" ht="25.5" customHeight="1">
      <c r="A282" t="inlineStr">
        <is>
          <t>小学生大队委竞选演讲稿三分钟.docx</t>
        </is>
      </c>
      <c r="B282" s="2" t="str">
        <f>=HYPERLINK("https://pan.quark.cn/s/3bffa2144683", "https://pan.quark.cn/s/3bffa2144683")</f>
        <v>https://pan.quark.cn/s/3bffa2144683</v>
      </c>
      <c r="C282" t="inlineStr">
        <is>
          <t>14.8K</t>
        </is>
      </c>
      <c r="D282" t="inlineStr">
        <is>
          <t>/小学生/大队委竞选/演讲稿/三分钟/K12/学龄儿童家长</t>
        </is>
      </c>
      <c r="E282" t="inlineStr">
        <is>
          <t>https://dcn8qexvg13r.feishu.cn/share/base/query/shrcnMqxwwRkV3NUIUxPeab3sec</t>
        </is>
      </c>
      <c r="F282" t="inlineStr">
        <is>
          <t>请添加微信：k846211</t>
        </is>
      </c>
      <c r="G282" t="inlineStr">
        <is>
          <t>2025-11-10</t>
        </is>
      </c>
    </row>
    <row r="283" ht="25.5" customHeight="1">
      <c r="A283" t="inlineStr">
        <is>
          <t>大队委竞选演讲稿.docx</t>
        </is>
      </c>
      <c r="B283" s="2" t="str">
        <f>=HYPERLINK("https://pan.quark.cn/s/da9ec439a878", "https://pan.quark.cn/s/da9ec439a878")</f>
        <v>https://pan.quark.cn/s/da9ec439a878</v>
      </c>
      <c r="C283" t="inlineStr">
        <is>
          <t>15.5K</t>
        </is>
      </c>
      <c r="D283" t="inlineStr">
        <is>
          <t>/大队委竞选/演讲稿/学生竞选/K12/学龄儿童家长</t>
        </is>
      </c>
      <c r="E283" t="inlineStr">
        <is>
          <t>https://dcn8qexvg13r.feishu.cn/share/base/query/shrcnMqxwwRkV3NUIUxPeab3sec</t>
        </is>
      </c>
      <c r="F283" t="inlineStr">
        <is>
          <t>请添加微信：k846211</t>
        </is>
      </c>
      <c r="G283" t="inlineStr">
        <is>
          <t>2025-11-10</t>
        </is>
      </c>
    </row>
    <row r="284" ht="25.5" customHeight="1">
      <c r="A284" t="inlineStr">
        <is>
          <t>001.【少年得到】作文有意思</t>
        </is>
      </c>
      <c r="B284" s="2" t="str">
        <f>=HYPERLINK("https://pan.quark.cn/s/53e6cc12348d", "https://pan.quark.cn/s/53e6cc12348d")</f>
        <v>https://pan.quark.cn/s/53e6cc12348d</v>
      </c>
      <c r="C284" t="inlineStr">
        <is>
          <t>671.2M</t>
        </is>
      </c>
      <c r="D284" t="inlineStr">
        <is>
          <t>/作文/少年得到/写作技巧/趣味学习/K12/学龄儿童家长</t>
        </is>
      </c>
      <c r="E284" t="inlineStr">
        <is>
          <t>https://dcn8qexvg13r.feishu.cn/share/base/query/shrcnMqxwwRkV3NUIUxPeab3sec</t>
        </is>
      </c>
      <c r="F284" t="inlineStr">
        <is>
          <t>请添加微信：k846211</t>
        </is>
      </c>
      <c r="G284" t="inlineStr">
        <is>
          <t>2025-11-10</t>
        </is>
      </c>
    </row>
    <row r="285" ht="25.5" customHeight="1">
      <c r="A285" t="inlineStr">
        <is>
          <t>020(1).【少年得到】数学有意思</t>
        </is>
      </c>
      <c r="B285" s="2" t="str">
        <f>=HYPERLINK("https://pan.quark.cn/s/09278aa74dae", "https://pan.quark.cn/s/09278aa74dae")</f>
        <v>https://pan.quark.cn/s/09278aa74dae</v>
      </c>
      <c r="C285" t="inlineStr">
        <is>
          <t>347.4M</t>
        </is>
      </c>
      <c r="D285" t="inlineStr">
        <is>
          <t>/数学/少年得到/趣味学习/K12/学龄儿童家长</t>
        </is>
      </c>
      <c r="E285" t="inlineStr">
        <is>
          <t>https://dcn8qexvg13r.feishu.cn/share/base/query/shrcnMqxwwRkV3NUIUxPeab3sec</t>
        </is>
      </c>
      <c r="F285" t="inlineStr">
        <is>
          <t>请添加微信：k846211</t>
        </is>
      </c>
      <c r="G285" t="inlineStr">
        <is>
          <t>2025-11-10</t>
        </is>
      </c>
    </row>
    <row r="286" ht="25.5" customHeight="1">
      <c r="A286" t="inlineStr">
        <is>
          <t>020.【少年得到】数学有意思</t>
        </is>
      </c>
      <c r="B286" s="2" t="str">
        <f>=HYPERLINK("https://pan.quark.cn/s/2f8b78be2265", "https://pan.quark.cn/s/2f8b78be2265")</f>
        <v>https://pan.quark.cn/s/2f8b78be2265</v>
      </c>
      <c r="C286" t="inlineStr">
        <is>
          <t>347.4M</t>
        </is>
      </c>
      <c r="D286" t="inlineStr">
        <is>
          <t>/数学/少年得到/趣味学习/K12/学龄儿童家长</t>
        </is>
      </c>
      <c r="E286" t="inlineStr">
        <is>
          <t>https://dcn8qexvg13r.feishu.cn/share/base/query/shrcnMqxwwRkV3NUIUxPeab3sec</t>
        </is>
      </c>
      <c r="F286" t="inlineStr">
        <is>
          <t>请添加微信：k846211</t>
        </is>
      </c>
      <c r="G286" t="inlineStr">
        <is>
          <t>2025-11-10</t>
        </is>
      </c>
    </row>
    <row r="287" ht="25.5" customHeight="1">
      <c r="A287" t="inlineStr">
        <is>
          <t>2026版初中《王朝霞考点梳理时习卷》7年级上册（道法）</t>
        </is>
      </c>
      <c r="B287" s="2" t="str">
        <f>=HYPERLINK("https://pan.quark.cn/s/58afd98311cb", "https://pan.quark.cn/s/58afd98311cb")</f>
        <v>https://pan.quark.cn/s/58afd98311cb</v>
      </c>
      <c r="C287" t="inlineStr">
        <is>
          <t>153M</t>
        </is>
      </c>
      <c r="D287" t="inlineStr">
        <is>
          <t>/初中道法/考点梳理/时习卷/七年级上册/K12/学龄儿童家长</t>
        </is>
      </c>
      <c r="E287" t="inlineStr">
        <is>
          <t>https://dcn8qexvg13r.feishu.cn/share/base/query/shrcnMqxwwRkV3NUIUxPeab3sec</t>
        </is>
      </c>
      <c r="F287" t="inlineStr">
        <is>
          <t>请添加微信：k846211</t>
        </is>
      </c>
      <c r="G287" t="inlineStr">
        <is>
          <t>2025-11-10</t>
        </is>
      </c>
    </row>
    <row r="288" ht="25.5" customHeight="1">
      <c r="A288" t="inlineStr">
        <is>
          <t>2026版初中《王朝霞考点梳理时习卷》7年级上册（数学）（北师）</t>
        </is>
      </c>
      <c r="B288" s="2" t="str">
        <f>=HYPERLINK("https://pan.quark.cn/s/fbc0bf8d69e0", "https://pan.quark.cn/s/fbc0bf8d69e0")</f>
        <v>https://pan.quark.cn/s/fbc0bf8d69e0</v>
      </c>
      <c r="C288" t="inlineStr">
        <is>
          <t>157.6M</t>
        </is>
      </c>
      <c r="D288" t="inlineStr">
        <is>
          <t>/初中数学/考点梳理/时习卷/北师大版/K12/学龄儿童家长</t>
        </is>
      </c>
      <c r="E288" t="inlineStr">
        <is>
          <t>https://dcn8qexvg13r.feishu.cn/share/base/query/shrcnMqxwwRkV3NUIUxPeab3sec</t>
        </is>
      </c>
      <c r="F288" t="inlineStr">
        <is>
          <t>请添加微信：k846211</t>
        </is>
      </c>
      <c r="G288" t="inlineStr">
        <is>
          <t>2025-11-10</t>
        </is>
      </c>
    </row>
    <row r="289" ht="25.5" customHeight="1">
      <c r="A289" t="inlineStr">
        <is>
          <t>2026版初中《王朝霞考点梳理时习卷》7年级上册（语文）</t>
        </is>
      </c>
      <c r="B289" s="2" t="str">
        <f>=HYPERLINK("https://pan.quark.cn/s/f1cb7c2df1ca", "https://pan.quark.cn/s/f1cb7c2df1ca")</f>
        <v>https://pan.quark.cn/s/f1cb7c2df1ca</v>
      </c>
      <c r="C289" t="inlineStr">
        <is>
          <t>265.8M</t>
        </is>
      </c>
      <c r="D289" t="inlineStr">
        <is>
          <t>/初中语文/考点梳理/时习卷/7年级上册/K12/学龄儿童家长</t>
        </is>
      </c>
      <c r="E289" t="inlineStr">
        <is>
          <t>https://dcn8qexvg13r.feishu.cn/share/base/query/shrcnMqxwwRkV3NUIUxPeab3sec</t>
        </is>
      </c>
      <c r="F289" t="inlineStr">
        <is>
          <t>请添加微信：k846211</t>
        </is>
      </c>
      <c r="G289" t="inlineStr">
        <is>
          <t>2025-11-10</t>
        </is>
      </c>
    </row>
    <row r="290" ht="25.5" customHeight="1">
      <c r="A290" t="inlineStr">
        <is>
          <t>2026版初中《王朝霞考点梳理时习卷》7年级上册（英语）</t>
        </is>
      </c>
      <c r="B290" s="2" t="str">
        <f>=HYPERLINK("https://pan.quark.cn/s/ce01cd39c0ec", "https://pan.quark.cn/s/ce01cd39c0ec")</f>
        <v>https://pan.quark.cn/s/ce01cd39c0ec</v>
      </c>
      <c r="C290" t="inlineStr">
        <is>
          <t>202M</t>
        </is>
      </c>
      <c r="D290" t="inlineStr">
        <is>
          <t>/初中英语/考点梳理/时习卷/7年级上册/K12/学龄儿童家长</t>
        </is>
      </c>
      <c r="E290" t="inlineStr">
        <is>
          <t>https://dcn8qexvg13r.feishu.cn/share/base/query/shrcnMqxwwRkV3NUIUxPeab3sec</t>
        </is>
      </c>
      <c r="F290" t="inlineStr">
        <is>
          <t>请添加微信：k846211</t>
        </is>
      </c>
      <c r="G290" t="inlineStr">
        <is>
          <t>2025-11-10</t>
        </is>
      </c>
    </row>
    <row r="291" ht="25.5" customHeight="1">
      <c r="A291" t="inlineStr">
        <is>
          <t>2026版初中《王朝霞考点梳理时习卷》8年级全册（地理）</t>
        </is>
      </c>
      <c r="B291" s="2" t="str">
        <f>=HYPERLINK("https://pan.quark.cn/s/06bf8cf6c74a", "https://pan.quark.cn/s/06bf8cf6c74a")</f>
        <v>https://pan.quark.cn/s/06bf8cf6c74a</v>
      </c>
      <c r="C291" t="inlineStr">
        <is>
          <t>216.1M</t>
        </is>
      </c>
      <c r="D291" t="inlineStr">
        <is>
          <t>/初中地理/考点梳理/时习卷/8年级/K12/学龄儿童家长</t>
        </is>
      </c>
      <c r="E291" t="inlineStr">
        <is>
          <t>https://dcn8qexvg13r.feishu.cn/share/base/query/shrcnMqxwwRkV3NUIUxPeab3sec</t>
        </is>
      </c>
      <c r="F291" t="inlineStr">
        <is>
          <t>请添加微信：k846211</t>
        </is>
      </c>
      <c r="G291" t="inlineStr">
        <is>
          <t>2025-11-10</t>
        </is>
      </c>
    </row>
    <row r="292" ht="25.5" customHeight="1">
      <c r="A292" t="inlineStr">
        <is>
          <t>2026版初中《王朝霞考点梳理时习卷》8年级上册（道法）</t>
        </is>
      </c>
      <c r="B292" s="2" t="str">
        <f>=HYPERLINK("https://pan.quark.cn/s/19821ef2f3ed", "https://pan.quark.cn/s/19821ef2f3ed")</f>
        <v>https://pan.quark.cn/s/19821ef2f3ed</v>
      </c>
      <c r="C292" t="inlineStr">
        <is>
          <t>164.9M</t>
        </is>
      </c>
      <c r="D292" t="inlineStr">
        <is>
          <t>/初中道法/考点梳理/时习卷/八年级上册/K12/学龄儿童家长</t>
        </is>
      </c>
      <c r="E292" t="inlineStr">
        <is>
          <t>https://dcn8qexvg13r.feishu.cn/share/base/query/shrcnMqxwwRkV3NUIUxPeab3sec</t>
        </is>
      </c>
      <c r="F292" t="inlineStr">
        <is>
          <t>请添加微信：k846211</t>
        </is>
      </c>
      <c r="G292" t="inlineStr">
        <is>
          <t>2025-11-10</t>
        </is>
      </c>
    </row>
    <row r="293" ht="25.5" customHeight="1">
      <c r="A293" t="inlineStr">
        <is>
          <t>2026版初中《王朝霞考点梳理时习卷》8年级上册（历史）</t>
        </is>
      </c>
      <c r="B293" s="2" t="str">
        <f>=HYPERLINK("https://pan.quark.cn/s/b01e2d811390", "https://pan.quark.cn/s/b01e2d811390")</f>
        <v>https://pan.quark.cn/s/b01e2d811390</v>
      </c>
      <c r="C293" t="inlineStr">
        <is>
          <t>115.3M</t>
        </is>
      </c>
      <c r="D293" t="inlineStr">
        <is>
          <t>/初中历史/考点梳理/同步练习/K12/学龄儿童家长</t>
        </is>
      </c>
      <c r="E293" t="inlineStr">
        <is>
          <t>https://dcn8qexvg13r.feishu.cn/share/base/query/shrcnMqxwwRkV3NUIUxPeab3sec</t>
        </is>
      </c>
      <c r="F293" t="inlineStr">
        <is>
          <t>请添加微信：k846211</t>
        </is>
      </c>
      <c r="G293" t="inlineStr">
        <is>
          <t>2025-11-10</t>
        </is>
      </c>
    </row>
    <row r="294" ht="25.5" customHeight="1">
      <c r="A294" t="inlineStr">
        <is>
          <t>2026版初中《王朝霞考点梳理时习卷》8年级上册（生物）</t>
        </is>
      </c>
      <c r="B294" s="2" t="str">
        <f>=HYPERLINK("https://pan.quark.cn/s/2b2c11fea8e5", "https://pan.quark.cn/s/2b2c11fea8e5")</f>
        <v>https://pan.quark.cn/s/2b2c11fea8e5</v>
      </c>
      <c r="C294" t="inlineStr">
        <is>
          <t>122.1M</t>
        </is>
      </c>
      <c r="D294" t="inlineStr">
        <is>
          <t>初中生物/考点梳理/时习卷/八年级上册/K12/学龄儿童家长</t>
        </is>
      </c>
      <c r="E294" t="inlineStr">
        <is>
          <t>https://dcn8qexvg13r.feishu.cn/share/base/query/shrcnMqxwwRkV3NUIUxPeab3sec</t>
        </is>
      </c>
      <c r="F294" t="inlineStr">
        <is>
          <t>请添加微信：k846211</t>
        </is>
      </c>
      <c r="G294" t="inlineStr">
        <is>
          <t>2025-11-10</t>
        </is>
      </c>
    </row>
    <row r="295" ht="25.5" customHeight="1">
      <c r="A295" t="inlineStr">
        <is>
          <t>2026版初中《王朝霞考点梳理时习卷》8年级上册（数学）</t>
        </is>
      </c>
      <c r="B295" s="2" t="str">
        <f>=HYPERLINK("https://pan.quark.cn/s/a06767d3f56d", "https://pan.quark.cn/s/a06767d3f56d")</f>
        <v>https://pan.quark.cn/s/a06767d3f56d</v>
      </c>
      <c r="C295" t="inlineStr">
        <is>
          <t>802.2M</t>
        </is>
      </c>
      <c r="D295" t="inlineStr">
        <is>
          <t>/初中数学/考点梳理/时习卷/八年级上册/K12/学龄儿童家长</t>
        </is>
      </c>
      <c r="E295" t="inlineStr">
        <is>
          <t>https://dcn8qexvg13r.feishu.cn/share/base/query/shrcnMqxwwRkV3NUIUxPeab3sec</t>
        </is>
      </c>
      <c r="F295" t="inlineStr">
        <is>
          <t>请添加微信：k846211</t>
        </is>
      </c>
      <c r="G295" t="inlineStr">
        <is>
          <t>2025-11-10</t>
        </is>
      </c>
    </row>
    <row r="296" ht="25.5" customHeight="1">
      <c r="A296" t="inlineStr">
        <is>
          <t>2026版初中《王朝霞考点梳理时习卷》8年级上册（物理）</t>
        </is>
      </c>
      <c r="B296" s="2" t="str">
        <f>=HYPERLINK("https://pan.quark.cn/s/c72e5b78fa03", "https://pan.quark.cn/s/c72e5b78fa03")</f>
        <v>https://pan.quark.cn/s/c72e5b78fa03</v>
      </c>
      <c r="C296" t="inlineStr">
        <is>
          <t>769.8M</t>
        </is>
      </c>
      <c r="D296" t="inlineStr">
        <is>
          <t>/初中物理/考点梳理/时习卷/八年级上册/K12/学龄儿童家长</t>
        </is>
      </c>
      <c r="E296" t="inlineStr">
        <is>
          <t>https://dcn8qexvg13r.feishu.cn/share/base/query/shrcnMqxwwRkV3NUIUxPeab3sec</t>
        </is>
      </c>
      <c r="F296" t="inlineStr">
        <is>
          <t>请添加微信：k846211</t>
        </is>
      </c>
      <c r="G296" t="inlineStr">
        <is>
          <t>2025-11-10</t>
        </is>
      </c>
    </row>
    <row r="297" ht="25.5" customHeight="1">
      <c r="A297" t="inlineStr">
        <is>
          <t>2026版初中《王朝霞考点梳理时习卷》8年级上册（语文）</t>
        </is>
      </c>
      <c r="B297" s="2" t="str">
        <f>=HYPERLINK("https://pan.quark.cn/s/0622726a6896", "https://pan.quark.cn/s/0622726a6896")</f>
        <v>https://pan.quark.cn/s/0622726a6896</v>
      </c>
      <c r="C297" t="inlineStr">
        <is>
          <t>308.5M</t>
        </is>
      </c>
      <c r="D297" t="inlineStr">
        <is>
          <t>/初中语文/考点梳理/时习卷/8年级上册/K12/学龄儿童家长</t>
        </is>
      </c>
      <c r="E297" t="inlineStr">
        <is>
          <t>https://dcn8qexvg13r.feishu.cn/share/base/query/shrcnMqxwwRkV3NUIUxPeab3sec</t>
        </is>
      </c>
      <c r="F297" t="inlineStr">
        <is>
          <t>请添加微信：k846211</t>
        </is>
      </c>
      <c r="G297" t="inlineStr">
        <is>
          <t>2025-11-10</t>
        </is>
      </c>
    </row>
    <row r="298" ht="25.5" customHeight="1">
      <c r="A298" t="inlineStr">
        <is>
          <t>1-6年级语文上册人教版25秋《周末基础复习》</t>
        </is>
      </c>
      <c r="B298" s="2" t="str">
        <f>=HYPERLINK("https://pan.quark.cn/s/d825fc61a4b0", "https://pan.quark.cn/s/d825fc61a4b0")</f>
        <v>https://pan.quark.cn/s/d825fc61a4b0</v>
      </c>
      <c r="C298" t="inlineStr">
        <is>
          <t>371.1M</t>
        </is>
      </c>
      <c r="D298" t="inlineStr">
        <is>
          <t>/语文/周末复习/基础巩固/小学/人教版/K12/学龄儿童家长</t>
        </is>
      </c>
      <c r="E298" t="inlineStr">
        <is>
          <t>https://dcn8qexvg13r.feishu.cn/share/base/query/shrcnMqxwwRkV3NUIUxPeab3sec</t>
        </is>
      </c>
      <c r="F298" t="inlineStr">
        <is>
          <t>请添加微信：k846211</t>
        </is>
      </c>
      <c r="G298" t="inlineStr">
        <is>
          <t>2025-11-10</t>
        </is>
      </c>
    </row>
    <row r="299" ht="25.5" customHeight="1">
      <c r="A299" t="inlineStr">
        <is>
          <t>1-6年级数学上册人教版25秋《周末基础复习》</t>
        </is>
      </c>
      <c r="B299" s="2" t="str">
        <f>=HYPERLINK("https://pan.quark.cn/s/e306b609a6fd", "https://pan.quark.cn/s/e306b609a6fd")</f>
        <v>https://pan.quark.cn/s/e306b609a6fd</v>
      </c>
      <c r="C299" t="inlineStr">
        <is>
          <t>307M</t>
        </is>
      </c>
      <c r="D299" t="inlineStr">
        <is>
          <t>/小学数学/人教版/周末复习/基础巩固/K12/学龄儿童家长</t>
        </is>
      </c>
      <c r="E299" t="inlineStr">
        <is>
          <t>https://dcn8qexvg13r.feishu.cn/share/base/query/shrcnMqxwwRkV3NUIUxPeab3sec</t>
        </is>
      </c>
      <c r="F299" t="inlineStr">
        <is>
          <t>请添加微信：k846211</t>
        </is>
      </c>
      <c r="G299" t="inlineStr">
        <is>
          <t>2025-11-10</t>
        </is>
      </c>
    </row>
    <row r="300" ht="25.5" customHeight="1">
      <c r="A300" t="inlineStr">
        <is>
          <t>3-6年级英语上册人教PEP版25秋《周末基础复习》</t>
        </is>
      </c>
      <c r="B300" s="2" t="str">
        <f>=HYPERLINK("https://pan.quark.cn/s/d0551cf71791", "https://pan.quark.cn/s/d0551cf71791")</f>
        <v>https://pan.quark.cn/s/d0551cf71791</v>
      </c>
      <c r="C300" t="inlineStr">
        <is>
          <t>215.4M</t>
        </is>
      </c>
      <c r="D300" t="inlineStr">
        <is>
          <t>/3-6年级英语/人教PEP版/周末基础复习/K12/学龄儿童家长</t>
        </is>
      </c>
      <c r="E300" t="inlineStr">
        <is>
          <t>https://dcn8qexvg13r.feishu.cn/share/base/query/shrcnMqxwwRkV3NUIUxPeab3sec</t>
        </is>
      </c>
      <c r="F300" t="inlineStr">
        <is>
          <t>请添加微信：k846211</t>
        </is>
      </c>
      <c r="G300" t="inlineStr">
        <is>
          <t>2025-11-10</t>
        </is>
      </c>
    </row>
    <row r="301" ht="25.5" customHeight="1">
      <c r="A301" t="inlineStr">
        <is>
          <t>英语《少年素质教育报 周末基础复习》冀教 25秋</t>
        </is>
      </c>
      <c r="B301" s="2" t="str">
        <f>=HYPERLINK("https://pan.quark.cn/s/2db5ed6b06ec", "https://pan.quark.cn/s/2db5ed6b06ec")</f>
        <v>https://pan.quark.cn/s/2db5ed6b06ec</v>
      </c>
      <c r="C301" t="inlineStr">
        <is>
          <t>298.5M</t>
        </is>
      </c>
      <c r="D301" t="inlineStr">
        <is>
          <t>/英语/基础复习/素质教育/周末/K12/学龄儿童家长</t>
        </is>
      </c>
      <c r="E301" t="inlineStr">
        <is>
          <t>https://dcn8qexvg13r.feishu.cn/share/base/query/shrcnMqxwwRkV3NUIUxPeab3sec</t>
        </is>
      </c>
      <c r="F301" t="inlineStr">
        <is>
          <t>请添加微信：k846211</t>
        </is>
      </c>
      <c r="G301" t="inlineStr">
        <is>
          <t>2025-11-10</t>
        </is>
      </c>
    </row>
    <row r="302" ht="25.5" customHeight="1">
      <c r="A302" t="inlineStr">
        <is>
          <t>25秋外研版少年素质教育报周末基础复习</t>
        </is>
      </c>
      <c r="B302" s="2" t="str">
        <f>=HYPERLINK("https://pan.quark.cn/s/57e16fe3d2dc", "https://pan.quark.cn/s/57e16fe3d2dc")</f>
        <v>https://pan.quark.cn/s/57e16fe3d2dc</v>
      </c>
      <c r="C302" t="inlineStr">
        <is>
          <t>275.7M</t>
        </is>
      </c>
      <c r="D302" t="inlineStr">
        <is>
          <t>/外研版/少年素质教育/周末基础复习/报纸/K12/学龄儿童家长</t>
        </is>
      </c>
      <c r="E302" t="inlineStr">
        <is>
          <t>https://dcn8qexvg13r.feishu.cn/share/base/query/shrcnMqxwwRkV3NUIUxPeab3sec</t>
        </is>
      </c>
      <c r="F302" t="inlineStr">
        <is>
          <t>请添加微信：k846211</t>
        </is>
      </c>
      <c r="G302" t="inlineStr">
        <is>
          <t>2025-11-10</t>
        </is>
      </c>
    </row>
    <row r="303" ht="25.5" customHeight="1">
      <c r="A303" t="inlineStr">
        <is>
          <t>25秋1-6上数学北师版周末基础复习</t>
        </is>
      </c>
      <c r="B303" s="2" t="str">
        <f>=HYPERLINK("https://pan.quark.cn/s/243b18973b73", "https://pan.quark.cn/s/243b18973b73")</f>
        <v>https://pan.quark.cn/s/243b18973b73</v>
      </c>
      <c r="C303" t="inlineStr">
        <is>
          <t>272.7M</t>
        </is>
      </c>
      <c r="D303" t="inlineStr">
        <is>
          <t>/数学/北师版/基础复习/周末练习/K12/学龄儿童家长</t>
        </is>
      </c>
      <c r="E303" t="inlineStr">
        <is>
          <t>https://dcn8qexvg13r.feishu.cn/share/base/query/shrcnMqxwwRkV3NUIUxPeab3sec</t>
        </is>
      </c>
      <c r="F303" t="inlineStr">
        <is>
          <t>请添加微信：k846211</t>
        </is>
      </c>
      <c r="G303" t="inlineStr">
        <is>
          <t>2025-11-10</t>
        </is>
      </c>
    </row>
    <row r="304" ht="25.5" customHeight="1">
      <c r="A304" t="inlineStr">
        <is>
          <t>25秋1-6上数学苏教版周末基础复习</t>
        </is>
      </c>
      <c r="B304" s="2" t="str">
        <f>=HYPERLINK("https://pan.quark.cn/s/07cc64ca3579", "https://pan.quark.cn/s/07cc64ca3579")</f>
        <v>https://pan.quark.cn/s/07cc64ca3579</v>
      </c>
      <c r="C304" t="inlineStr">
        <is>
          <t>317M</t>
        </is>
      </c>
      <c r="D304" t="inlineStr">
        <is>
          <t>/小学数学/苏教版/周末复习/基础巩固/K12/学龄儿童家长</t>
        </is>
      </c>
      <c r="E304" t="inlineStr">
        <is>
          <t>https://dcn8qexvg13r.feishu.cn/share/base/query/shrcnMqxwwRkV3NUIUxPeab3sec</t>
        </is>
      </c>
      <c r="F304" t="inlineStr">
        <is>
          <t>请添加微信：k846211</t>
        </is>
      </c>
      <c r="G304" t="inlineStr">
        <is>
          <t>2025-11-10</t>
        </is>
      </c>
    </row>
    <row r="305" ht="25.5" customHeight="1">
      <c r="A305" t="inlineStr">
        <is>
          <t>🍎⭐️期中知识汇总语文25年上册(1)</t>
        </is>
      </c>
      <c r="B305" s="2" t="str">
        <f>=HYPERLINK("https://pan.quark.cn/s/d53a24f13ced", "https://pan.quark.cn/s/d53a24f13ced")</f>
        <v>https://pan.quark.cn/s/d53a24f13ced</v>
      </c>
      <c r="C305" t="inlineStr">
        <is>
          <t>63.3M</t>
        </is>
      </c>
      <c r="D305" t="inlineStr">
        <is>
          <t>/语文/期中/知识汇总/25年上册/K12/学龄儿童家长</t>
        </is>
      </c>
      <c r="E305" t="inlineStr">
        <is>
          <t>https://dcn8qexvg13r.feishu.cn/share/base/query/shrcnMqxwwRkV3NUIUxPeab3sec</t>
        </is>
      </c>
      <c r="F305" t="inlineStr">
        <is>
          <t>请添加微信：k846211</t>
        </is>
      </c>
      <c r="G305" t="inlineStr">
        <is>
          <t>2025-11-10</t>
        </is>
      </c>
    </row>
    <row r="306" ht="25.5" customHeight="1">
      <c r="A306" t="inlineStr">
        <is>
          <t>🍎⭐️期中知识汇总人教25年上册(1)</t>
        </is>
      </c>
      <c r="B306" s="2" t="str">
        <f>=HYPERLINK("https://pan.quark.cn/s/cbfa88e0c533", "https://pan.quark.cn/s/cbfa88e0c533")</f>
        <v>https://pan.quark.cn/s/cbfa88e0c533</v>
      </c>
      <c r="C306" t="inlineStr">
        <is>
          <t>93.3M</t>
        </is>
      </c>
      <c r="D306" t="inlineStr">
        <is>
          <t>/期中/知识汇总/人教25年上册/K12/学龄儿童家长</t>
        </is>
      </c>
      <c r="E306" t="inlineStr">
        <is>
          <t>https://dcn8qexvg13r.feishu.cn/share/base/query/shrcnMqxwwRkV3NUIUxPeab3sec</t>
        </is>
      </c>
      <c r="F306" t="inlineStr">
        <is>
          <t>请添加微信：k846211</t>
        </is>
      </c>
      <c r="G306" t="inlineStr">
        <is>
          <t>2025-11-10</t>
        </is>
      </c>
    </row>
    <row r="307" ht="25.5" customHeight="1">
      <c r="A307" t="inlineStr">
        <is>
          <t>🍎⭐️期中知识汇总pep25年上册(1)</t>
        </is>
      </c>
      <c r="B307" s="2" t="str">
        <f>=HYPERLINK("https://pan.quark.cn/s/6adb0d7141b9", "https://pan.quark.cn/s/6adb0d7141b9")</f>
        <v>https://pan.quark.cn/s/6adb0d7141b9</v>
      </c>
      <c r="C307" t="inlineStr">
        <is>
          <t>21.3M</t>
        </is>
      </c>
      <c r="D307" t="inlineStr">
        <is>
          <t>/期中/知识汇总/pep/小学英语/学龄儿童家长</t>
        </is>
      </c>
      <c r="E307" t="inlineStr">
        <is>
          <t>https://dcn8qexvg13r.feishu.cn/share/base/query/shrcnMqxwwRkV3NUIUxPeab3sec</t>
        </is>
      </c>
      <c r="F307" t="inlineStr">
        <is>
          <t>请添加微信：k846211</t>
        </is>
      </c>
      <c r="G307" t="inlineStr">
        <is>
          <t>2025-11-10</t>
        </is>
      </c>
    </row>
    <row r="308" ht="25.5" customHeight="1">
      <c r="A308" t="inlineStr">
        <is>
          <t>🍎⭐️期中语文园地25年上册(1)</t>
        </is>
      </c>
      <c r="B308" s="2" t="str">
        <f>=HYPERLINK("https://pan.quark.cn/s/0cd47bb2a6cd", "https://pan.quark.cn/s/0cd47bb2a6cd")</f>
        <v>https://pan.quark.cn/s/0cd47bb2a6cd</v>
      </c>
      <c r="C308" t="inlineStr">
        <is>
          <t>293.3M</t>
        </is>
      </c>
      <c r="D308" t="inlineStr">
        <is>
          <t>/期中/语文园地/小学上册/练习题/K12/学龄儿童家长</t>
        </is>
      </c>
      <c r="E308" t="inlineStr">
        <is>
          <t>https://dcn8qexvg13r.feishu.cn/share/base/query/shrcnMqxwwRkV3NUIUxPeab3sec</t>
        </is>
      </c>
      <c r="F308" t="inlineStr">
        <is>
          <t>请添加微信：k846211</t>
        </is>
      </c>
      <c r="G308" t="inlineStr">
        <is>
          <t>2025-11-10</t>
        </is>
      </c>
    </row>
    <row r="309" ht="25.5" customHeight="1">
      <c r="A309" t="inlineStr">
        <is>
          <t>🍎⭐️期中课内阅读理解25年上册(1)</t>
        </is>
      </c>
      <c r="B309" s="2" t="str">
        <f>=HYPERLINK("https://pan.quark.cn/s/44f68aee9589", "https://pan.quark.cn/s/44f68aee9589")</f>
        <v>https://pan.quark.cn/s/44f68aee9589</v>
      </c>
      <c r="C309" t="inlineStr">
        <is>
          <t>5.5M</t>
        </is>
      </c>
      <c r="D309" t="inlineStr">
        <is>
          <t>/期中/课内阅读/阅读理解/25年上册/K12/学龄儿童家长</t>
        </is>
      </c>
      <c r="E309" t="inlineStr">
        <is>
          <t>https://dcn8qexvg13r.feishu.cn/share/base/query/shrcnMqxwwRkV3NUIUxPeab3sec</t>
        </is>
      </c>
      <c r="F309" t="inlineStr">
        <is>
          <t>请添加微信：k846211</t>
        </is>
      </c>
      <c r="G309" t="inlineStr">
        <is>
          <t>2025-11-10</t>
        </is>
      </c>
    </row>
    <row r="310" ht="25.5" customHeight="1">
      <c r="A310" t="inlineStr">
        <is>
          <t>25秋《学霸4星提高班》语文1年级上 - 达标测试卷.pdf</t>
        </is>
      </c>
      <c r="B310" s="2" t="str">
        <f>=HYPERLINK("https://pan.quark.cn/s/bc6b00dab790", "https://pan.quark.cn/s/bc6b00dab790")</f>
        <v>https://pan.quark.cn/s/bc6b00dab790</v>
      </c>
      <c r="C310" t="inlineStr">
        <is>
          <t>21M</t>
        </is>
      </c>
      <c r="D310" t="inlineStr">
        <is>
          <t>/语文/1年级上/达标测试卷/学霸4星提高班/K12/学龄儿童家长</t>
        </is>
      </c>
      <c r="E310" t="inlineStr">
        <is>
          <t>https://dcn8qexvg13r.feishu.cn/share/base/query/shrcnMqxwwRkV3NUIUxPeab3sec</t>
        </is>
      </c>
      <c r="F310" t="inlineStr">
        <is>
          <t>请添加微信：k846211</t>
        </is>
      </c>
      <c r="G310" t="inlineStr">
        <is>
          <t>2025-11-10</t>
        </is>
      </c>
    </row>
    <row r="311" ht="25.5" customHeight="1">
      <c r="A311" t="inlineStr">
        <is>
          <t>25秋《学霸4星提高班》语文2年级上 - 达标测试卷.pdf</t>
        </is>
      </c>
      <c r="B311" s="2" t="str">
        <f>=HYPERLINK("https://pan.quark.cn/s/a65e920fa6e7", "https://pan.quark.cn/s/a65e920fa6e7")</f>
        <v>https://pan.quark.cn/s/a65e920fa6e7</v>
      </c>
      <c r="C311" t="inlineStr">
        <is>
          <t>16.7M</t>
        </is>
      </c>
      <c r="D311" t="inlineStr">
        <is>
          <t>/语文/2年级上/达标测试卷/学霸4星提高班/K12/学龄儿童家长</t>
        </is>
      </c>
      <c r="E311" t="inlineStr">
        <is>
          <t>https://dcn8qexvg13r.feishu.cn/share/base/query/shrcnMqxwwRkV3NUIUxPeab3sec</t>
        </is>
      </c>
      <c r="F311" t="inlineStr">
        <is>
          <t>请添加微信：k846211</t>
        </is>
      </c>
      <c r="G311" t="inlineStr">
        <is>
          <t>2025-11-10</t>
        </is>
      </c>
    </row>
    <row r="312" ht="25.5" customHeight="1">
      <c r="A312" t="inlineStr">
        <is>
          <t>25秋《学霸4星提高班》语文3年级上 - 达标测试卷.pdf</t>
        </is>
      </c>
      <c r="B312" s="2" t="str">
        <f>=HYPERLINK("https://pan.quark.cn/s/f7e73346d3fc", "https://pan.quark.cn/s/f7e73346d3fc")</f>
        <v>https://pan.quark.cn/s/f7e73346d3fc</v>
      </c>
      <c r="C312" t="inlineStr">
        <is>
          <t>26.8M</t>
        </is>
      </c>
      <c r="D312" t="inlineStr">
        <is>
          <t>/语文/3年级上/达标测试卷/学霸提高/学龄儿童家长/K12</t>
        </is>
      </c>
      <c r="E312" t="inlineStr">
        <is>
          <t>https://dcn8qexvg13r.feishu.cn/share/base/query/shrcnMqxwwRkV3NUIUxPeab3sec</t>
        </is>
      </c>
      <c r="F312" t="inlineStr">
        <is>
          <t>请添加微信：k846211</t>
        </is>
      </c>
      <c r="G312" t="inlineStr">
        <is>
          <t>2025-11-10</t>
        </is>
      </c>
    </row>
    <row r="313" ht="25.5" customHeight="1">
      <c r="A313" t="inlineStr">
        <is>
          <t>25秋《学霸4星提高班》语文4年级上 - 达标测试卷.pdf</t>
        </is>
      </c>
      <c r="B313" s="2" t="str">
        <f>=HYPERLINK("https://pan.quark.cn/s/014e4a353a2f", "https://pan.quark.cn/s/014e4a353a2f")</f>
        <v>https://pan.quark.cn/s/014e4a353a2f</v>
      </c>
      <c r="C313" t="inlineStr">
        <is>
          <t>27.1M</t>
        </is>
      </c>
      <c r="D313" t="inlineStr">
        <is>
          <t>/语文/四年级/达标测试卷/学霸提高/K12/学龄儿童家长</t>
        </is>
      </c>
      <c r="E313" t="inlineStr">
        <is>
          <t>https://dcn8qexvg13r.feishu.cn/share/base/query/shrcnMqxwwRkV3NUIUxPeab3sec</t>
        </is>
      </c>
      <c r="F313" t="inlineStr">
        <is>
          <t>请添加微信：k846211</t>
        </is>
      </c>
      <c r="G313" t="inlineStr">
        <is>
          <t>2025-11-10</t>
        </is>
      </c>
    </row>
    <row r="314" ht="25.5" customHeight="1">
      <c r="A314" t="inlineStr">
        <is>
          <t>25秋《学霸4星提高班》语文5年级上 - 达标测试卷.pdf</t>
        </is>
      </c>
      <c r="B314" s="2" t="str">
        <f>=HYPERLINK("https://pan.quark.cn/s/9b5e5b902bc3", "https://pan.quark.cn/s/9b5e5b902bc3")</f>
        <v>https://pan.quark.cn/s/9b5e5b902bc3</v>
      </c>
      <c r="C314" t="inlineStr">
        <is>
          <t>30.5M</t>
        </is>
      </c>
      <c r="D314" t="inlineStr">
        <is>
          <t>/语文/五年级上/达标测试卷/学霸提高/K12/学龄儿童家长</t>
        </is>
      </c>
      <c r="E314" t="inlineStr">
        <is>
          <t>https://dcn8qexvg13r.feishu.cn/share/base/query/shrcnMqxwwRkV3NUIUxPeab3sec</t>
        </is>
      </c>
      <c r="F314" t="inlineStr">
        <is>
          <t>请添加微信：k846211</t>
        </is>
      </c>
      <c r="G314" t="inlineStr">
        <is>
          <t>2025-11-10</t>
        </is>
      </c>
    </row>
    <row r="315" ht="25.5" customHeight="1">
      <c r="A315" t="inlineStr">
        <is>
          <t>25秋《学霸4星提高班》语文6年级上 - 达标测试卷.pdf</t>
        </is>
      </c>
      <c r="B315" s="2" t="str">
        <f>=HYPERLINK("https://pan.quark.cn/s/12b3d6ba72f4", "https://pan.quark.cn/s/12b3d6ba72f4")</f>
        <v>https://pan.quark.cn/s/12b3d6ba72f4</v>
      </c>
      <c r="C315" t="inlineStr">
        <is>
          <t>23.4M</t>
        </is>
      </c>
      <c r="D315" t="inlineStr">
        <is>
          <t>/语文/六年级上/达标测试卷/学霸提高/K12/学龄儿童家长</t>
        </is>
      </c>
      <c r="E315" t="inlineStr">
        <is>
          <t>https://dcn8qexvg13r.feishu.cn/share/base/query/shrcnMqxwwRkV3NUIUxPeab3sec</t>
        </is>
      </c>
      <c r="F315" t="inlineStr">
        <is>
          <t>请添加微信：k846211</t>
        </is>
      </c>
      <c r="G315" t="inlineStr">
        <is>
          <t>2025-11-10</t>
        </is>
      </c>
    </row>
    <row r="316" ht="25.5" customHeight="1">
      <c r="A316" t="inlineStr">
        <is>
          <t>013庄重读书会【更新中】古文观止</t>
        </is>
      </c>
      <c r="B316" s="2" t="str">
        <f>=HYPERLINK("https://pan.quark.cn/s/4de0eb9c932f", "https://pan.quark.cn/s/4de0eb9c932f")</f>
        <v>https://pan.quark.cn/s/4de0eb9c932f</v>
      </c>
      <c r="C316" t="inlineStr">
        <is>
          <t>32.6G</t>
        </is>
      </c>
      <c r="D316" t="inlineStr">
        <is>
          <t>/古文观止/读书会/古典文学/庄重/大学生/考研/考公/考证党</t>
        </is>
      </c>
      <c r="E316" t="inlineStr">
        <is>
          <t>https://dcn8qexvg13r.feishu.cn/share/base/query/shrcnMqxwwRkV3NUIUxPeab3sec</t>
        </is>
      </c>
      <c r="F316" t="inlineStr">
        <is>
          <t>请添加微信：k846211</t>
        </is>
      </c>
      <c r="G316" t="inlineStr">
        <is>
          <t>2025-11-10</t>
        </is>
      </c>
    </row>
    <row r="317" ht="25.5" customHeight="1">
      <c r="A317" t="inlineStr">
        <is>
          <t>25秋全品知识梳理（1语上）</t>
        </is>
      </c>
      <c r="B317" s="2" t="str">
        <f>=HYPERLINK("https://pan.quark.cn/s/5c16a2b8b814", "https://pan.quark.cn/s/5c16a2b8b814")</f>
        <v>https://pan.quark.cn/s/5c16a2b8b814</v>
      </c>
      <c r="C317" t="inlineStr">
        <is>
          <t>36M</t>
        </is>
      </c>
      <c r="D317" t="inlineStr">
        <is>
          <t>/小学语文/知识梳理/全品/一年级上册/K12/学龄儿童家长</t>
        </is>
      </c>
      <c r="E317" t="inlineStr">
        <is>
          <t>https://dcn8qexvg13r.feishu.cn/share/base/query/shrcnMqxwwRkV3NUIUxPeab3sec</t>
        </is>
      </c>
      <c r="F317" t="inlineStr">
        <is>
          <t>请添加微信：k846211</t>
        </is>
      </c>
      <c r="G317" t="inlineStr">
        <is>
          <t>2025-11-11</t>
        </is>
      </c>
    </row>
    <row r="318" ht="25.5" customHeight="1">
      <c r="A318" t="inlineStr">
        <is>
          <t>25秋全品知识梳理（2语上）</t>
        </is>
      </c>
      <c r="B318" s="2" t="str">
        <f>=HYPERLINK("https://pan.quark.cn/s/c5ed7efc1985", "https://pan.quark.cn/s/c5ed7efc1985")</f>
        <v>https://pan.quark.cn/s/c5ed7efc1985</v>
      </c>
      <c r="C318" t="inlineStr">
        <is>
          <t>42.6M</t>
        </is>
      </c>
      <c r="D318" t="inlineStr">
        <is>
          <t>/小学语文/知识梳理/二年级上册/全品教辅/K12/学龄儿童家长</t>
        </is>
      </c>
      <c r="E318" t="inlineStr">
        <is>
          <t>https://dcn8qexvg13r.feishu.cn/share/base/query/shrcnMqxwwRkV3NUIUxPeab3sec</t>
        </is>
      </c>
      <c r="F318" t="inlineStr">
        <is>
          <t>请添加微信：k846211</t>
        </is>
      </c>
      <c r="G318" t="inlineStr">
        <is>
          <t>2025-11-11</t>
        </is>
      </c>
    </row>
    <row r="319" ht="25.5" customHeight="1">
      <c r="A319" t="inlineStr">
        <is>
          <t>25秋全品知识梳理（3语上）</t>
        </is>
      </c>
      <c r="B319" s="2" t="str">
        <f>=HYPERLINK("https://pan.quark.cn/s/2d9c9a1f6351", "https://pan.quark.cn/s/2d9c9a1f6351")</f>
        <v>https://pan.quark.cn/s/2d9c9a1f6351</v>
      </c>
      <c r="C319" t="inlineStr">
        <is>
          <t>46.5M</t>
        </is>
      </c>
      <c r="D319" t="inlineStr">
        <is>
          <t>/小学语文/三年级上册/知识梳理/全品教辅/K12/学龄儿童家长</t>
        </is>
      </c>
      <c r="E319" t="inlineStr">
        <is>
          <t>https://dcn8qexvg13r.feishu.cn/share/base/query/shrcnMqxwwRkV3NUIUxPeab3sec</t>
        </is>
      </c>
      <c r="F319" t="inlineStr">
        <is>
          <t>请添加微信：k846211</t>
        </is>
      </c>
      <c r="G319" t="inlineStr">
        <is>
          <t>2025-11-11</t>
        </is>
      </c>
    </row>
    <row r="320" ht="25.5" customHeight="1">
      <c r="A320" t="inlineStr">
        <is>
          <t>25秋全品知识梳理（4语上）</t>
        </is>
      </c>
      <c r="B320" s="2" t="str">
        <f>=HYPERLINK("https://pan.quark.cn/s/61846f2db6ef", "https://pan.quark.cn/s/61846f2db6ef")</f>
        <v>https://pan.quark.cn/s/61846f2db6ef</v>
      </c>
      <c r="C320" t="inlineStr">
        <is>
          <t>118M</t>
        </is>
      </c>
      <c r="D320" t="inlineStr">
        <is>
          <t>/小学语文/四年级上册/全品/知识梳理/K12/学龄儿童家长</t>
        </is>
      </c>
      <c r="E320" t="inlineStr">
        <is>
          <t>https://dcn8qexvg13r.feishu.cn/share/base/query/shrcnMqxwwRkV3NUIUxPeab3sec</t>
        </is>
      </c>
      <c r="F320" t="inlineStr">
        <is>
          <t>请添加微信：k846211</t>
        </is>
      </c>
      <c r="G320" t="inlineStr">
        <is>
          <t>2025-11-11</t>
        </is>
      </c>
    </row>
    <row r="321" ht="25.5" customHeight="1">
      <c r="A321" t="inlineStr">
        <is>
          <t>25秋全品知识梳理（5语上）</t>
        </is>
      </c>
      <c r="B321" s="2" t="str">
        <f>=HYPERLINK("https://pan.quark.cn/s/434a0930011b", "https://pan.quark.cn/s/434a0930011b")</f>
        <v>https://pan.quark.cn/s/434a0930011b</v>
      </c>
      <c r="C321" t="inlineStr">
        <is>
          <t>108.6M</t>
        </is>
      </c>
      <c r="D321" t="inlineStr">
        <is>
          <t>/五年级语文/知识梳理/全品/25秋/学龄儿童家长/K12</t>
        </is>
      </c>
      <c r="E321" t="inlineStr">
        <is>
          <t>https://dcn8qexvg13r.feishu.cn/share/base/query/shrcnMqxwwRkV3NUIUxPeab3sec</t>
        </is>
      </c>
      <c r="F321" t="inlineStr">
        <is>
          <t>请添加微信：k846211</t>
        </is>
      </c>
      <c r="G321" t="inlineStr">
        <is>
          <t>2025-11-11</t>
        </is>
      </c>
    </row>
    <row r="322" ht="25.5" customHeight="1">
      <c r="A322" t="inlineStr">
        <is>
          <t>25秋全品知识梳理（6语上）</t>
        </is>
      </c>
      <c r="B322" s="2" t="str">
        <f>=HYPERLINK("https://pan.quark.cn/s/14099eba56fc", "https://pan.quark.cn/s/14099eba56fc")</f>
        <v>https://pan.quark.cn/s/14099eba56fc</v>
      </c>
      <c r="C322" t="inlineStr">
        <is>
          <t>232.3M</t>
        </is>
      </c>
      <c r="D322" t="inlineStr">
        <is>
          <t>/六年级语文/知识梳理/全品/小学上册/K12/学龄儿童家长</t>
        </is>
      </c>
      <c r="E322" t="inlineStr">
        <is>
          <t>https://dcn8qexvg13r.feishu.cn/share/base/query/shrcnMqxwwRkV3NUIUxPeab3sec</t>
        </is>
      </c>
      <c r="F322" t="inlineStr">
        <is>
          <t>请添加微信：k846211</t>
        </is>
      </c>
      <c r="G322" t="inlineStr">
        <is>
          <t>2025-11-11</t>
        </is>
      </c>
    </row>
    <row r="323" ht="25.5" customHeight="1">
      <c r="A323" t="inlineStr">
        <is>
          <t>2025秋 六年级 语文 上册 教材核心考点总结(1)</t>
        </is>
      </c>
      <c r="B323" s="2" t="str">
        <f>=HYPERLINK("https://pan.quark.cn/s/739380e14f12", "https://pan.quark.cn/s/739380e14f12")</f>
        <v>https://pan.quark.cn/s/739380e14f12</v>
      </c>
      <c r="C323" t="inlineStr">
        <is>
          <t>25.1M</t>
        </is>
      </c>
      <c r="D323" t="inlineStr">
        <is>
          <t>/六年级语文/教材考点/核心考点总结/语文上册/学龄儿童家长/K12</t>
        </is>
      </c>
      <c r="E323" t="inlineStr">
        <is>
          <t>https://dcn8qexvg13r.feishu.cn/share/base/query/shrcnMqxwwRkV3NUIUxPeab3sec</t>
        </is>
      </c>
      <c r="F323" t="inlineStr">
        <is>
          <t>请添加微信：k846211</t>
        </is>
      </c>
      <c r="G323" t="inlineStr">
        <is>
          <t>2025-11-13</t>
        </is>
      </c>
    </row>
    <row r="324" ht="25.5" customHeight="1">
      <c r="A324" t="inlineStr">
        <is>
          <t>木老师生活写作104法</t>
        </is>
      </c>
      <c r="B324" s="2" t="str">
        <f>=HYPERLINK("https://pan.quark.cn/s/5801a22b0248", "https://pan.quark.cn/s/5801a22b0248")</f>
        <v>https://pan.quark.cn/s/5801a22b0248</v>
      </c>
      <c r="C324" t="inlineStr">
        <is>
          <t>224.7G</t>
        </is>
      </c>
      <c r="D324" t="inlineStr">
        <is>
          <t>/生活写作/写作方法/写作技巧/木老师/白领/技能入门</t>
        </is>
      </c>
      <c r="E324" t="inlineStr">
        <is>
          <t>https://dcn8qexvg13r.feishu.cn/share/base/query/shrcnMqxwwRkV3NUIUxPeab3sec</t>
        </is>
      </c>
      <c r="F324" t="inlineStr">
        <is>
          <t>请添加微信：k846211</t>
        </is>
      </c>
      <c r="G324" t="inlineStr">
        <is>
          <t>2025-11-13</t>
        </is>
      </c>
    </row>
    <row r="325" ht="25.5" customHeight="1">
      <c r="A325" t="inlineStr">
        <is>
          <t>美文精读-L1阶段（建议五、六年级起）10课</t>
        </is>
      </c>
      <c r="B325" s="2" t="str">
        <f>=HYPERLINK("https://pan.quark.cn/s/e49f7af4eaad", "https://pan.quark.cn/s/e49f7af4eaad")</f>
        <v>https://pan.quark.cn/s/e49f7af4eaad</v>
      </c>
      <c r="C325" t="inlineStr">
        <is>
          <t>2.5G</t>
        </is>
      </c>
      <c r="D325" t="inlineStr">
        <is>
          <t>/美文精读/语文学习/L1阶段/五年级/六年级/K12/学龄儿童家长</t>
        </is>
      </c>
      <c r="E325" t="inlineStr">
        <is>
          <t>https://dcn8qexvg13r.feishu.cn/share/base/query/shrcnMqxwwRkV3NUIUxPeab3sec</t>
        </is>
      </c>
      <c r="F325" t="inlineStr">
        <is>
          <t>请添加微信：k846211</t>
        </is>
      </c>
      <c r="G325" t="inlineStr">
        <is>
          <t>2025-11-13</t>
        </is>
      </c>
    </row>
    <row r="326" ht="25.5" customHeight="1">
      <c r="A326" t="inlineStr">
        <is>
          <t>美文精读-L2阶段（建议初中起）10课</t>
        </is>
      </c>
      <c r="B326" s="2" t="str">
        <f>=HYPERLINK("https://pan.quark.cn/s/9aedab10689d", "https://pan.quark.cn/s/9aedab10689d")</f>
        <v>https://pan.quark.cn/s/9aedab10689d</v>
      </c>
      <c r="C326" t="inlineStr">
        <is>
          <t>2.7G</t>
        </is>
      </c>
      <c r="D326" t="inlineStr">
        <is>
          <t>/美文/精读/L2阶段/初中/学龄儿童家长/K12</t>
        </is>
      </c>
      <c r="E326" t="inlineStr">
        <is>
          <t>https://dcn8qexvg13r.feishu.cn/share/base/query/shrcnMqxwwRkV3NUIUxPeab3sec</t>
        </is>
      </c>
      <c r="F326" t="inlineStr">
        <is>
          <t>请添加微信：k846211</t>
        </is>
      </c>
      <c r="G326" t="inlineStr">
        <is>
          <t>2025-11-13</t>
        </is>
      </c>
    </row>
    <row r="327" ht="25.5" customHeight="1">
      <c r="A327" t="inlineStr">
        <is>
          <t>美文精读-L3阶段（建议初三和高一）10课</t>
        </is>
      </c>
      <c r="B327" s="2" t="str">
        <f>=HYPERLINK("https://pan.quark.cn/s/325638fce79e", "https://pan.quark.cn/s/325638fce79e")</f>
        <v>https://pan.quark.cn/s/325638fce79e</v>
      </c>
      <c r="C327" t="inlineStr">
        <is>
          <t>2.4G</t>
        </is>
      </c>
      <c r="D327" t="inlineStr">
        <is>
          <t>/美文精读/初三/高一/L3阶段/K12/学龄儿童家长</t>
        </is>
      </c>
      <c r="E327" t="inlineStr">
        <is>
          <t>https://dcn8qexvg13r.feishu.cn/share/base/query/shrcnMqxwwRkV3NUIUxPeab3sec</t>
        </is>
      </c>
      <c r="F327" t="inlineStr">
        <is>
          <t>请添加微信：k846211</t>
        </is>
      </c>
      <c r="G327" t="inlineStr">
        <is>
          <t>2025-11-13</t>
        </is>
      </c>
    </row>
    <row r="328" ht="25.5" customHeight="1">
      <c r="A328" t="inlineStr">
        <is>
          <t>美文精读-L4阶段（建议高中学习）10课</t>
        </is>
      </c>
      <c r="B328" s="2" t="str">
        <f>=HYPERLINK("https://pan.quark.cn/s/cd3828ba09f1", "https://pan.quark.cn/s/cd3828ba09f1")</f>
        <v>https://pan.quark.cn/s/cd3828ba09f1</v>
      </c>
      <c r="C328" t="inlineStr">
        <is>
          <t>2.3G</t>
        </is>
      </c>
      <c r="D328" t="inlineStr">
        <is>
          <t>/美文/精读/高中/L4阶段/K12/学龄儿童家长</t>
        </is>
      </c>
      <c r="E328" t="inlineStr">
        <is>
          <t>https://dcn8qexvg13r.feishu.cn/share/base/query/shrcnMqxwwRkV3NUIUxPeab3sec</t>
        </is>
      </c>
      <c r="F328" t="inlineStr">
        <is>
          <t>请添加微信：k846211</t>
        </is>
      </c>
      <c r="G328" t="inlineStr">
        <is>
          <t>2025-11-13</t>
        </is>
      </c>
    </row>
    <row r="329" ht="25.5" customHeight="1">
      <c r="A329" t="inlineStr">
        <is>
          <t>15天小学阅读进阶计划(1)</t>
        </is>
      </c>
      <c r="B329" s="2" t="str">
        <f>=HYPERLINK("https://pan.quark.cn/s/a78ba72202b5", "https://pan.quark.cn/s/a78ba72202b5")</f>
        <v>https://pan.quark.cn/s/a78ba72202b5</v>
      </c>
      <c r="C329" t="inlineStr">
        <is>
          <t>1.4G</t>
        </is>
      </c>
      <c r="D329" t="inlineStr">
        <is>
          <t>/小学阅读/阅读进阶/阅读计划/15天计划/K12/学龄儿童家长</t>
        </is>
      </c>
      <c r="E329" t="inlineStr">
        <is>
          <t>https://dcn8qexvg13r.feishu.cn/share/base/query/shrcnMqxwwRkV3NUIUxPeab3sec</t>
        </is>
      </c>
      <c r="F329" t="inlineStr">
        <is>
          <t>请添加微信：k846211</t>
        </is>
      </c>
      <c r="G329" t="inlineStr">
        <is>
          <t>2025-11-13</t>
        </is>
      </c>
    </row>
    <row r="330" ht="25.5" customHeight="1">
      <c r="A330" t="inlineStr">
        <is>
          <t>北鱼学堂·批读课(1)</t>
        </is>
      </c>
      <c r="B330" s="2" t="str">
        <f>=HYPERLINK("https://pan.quark.cn/s/77bf20256b8e", "https://pan.quark.cn/s/77bf20256b8e")</f>
        <v>https://pan.quark.cn/s/77bf20256b8e</v>
      </c>
      <c r="C330" t="inlineStr">
        <is>
          <t>23.1G</t>
        </is>
      </c>
      <c r="D330" t="inlineStr">
        <is>
          <t>/批读课/北鱼学堂/阅读理解/学习方法/宝妈/家长群体/学龄儿童家长</t>
        </is>
      </c>
      <c r="E330" t="inlineStr">
        <is>
          <t>https://dcn8qexvg13r.feishu.cn/share/base/query/shrcnMqxwwRkV3NUIUxPeab3sec</t>
        </is>
      </c>
      <c r="F330" t="inlineStr">
        <is>
          <t>请添加微信：k846211</t>
        </is>
      </c>
      <c r="G330" t="inlineStr">
        <is>
          <t>2025-11-13</t>
        </is>
      </c>
    </row>
    <row r="331" ht="25.5" customHeight="1">
      <c r="A331" t="inlineStr">
        <is>
          <t>跟着西游记学作文(1)</t>
        </is>
      </c>
      <c r="B331" s="2" t="str">
        <f>=HYPERLINK("https://pan.quark.cn/s/01e5d23eb118", "https://pan.quark.cn/s/01e5d23eb118")</f>
        <v>https://pan.quark.cn/s/01e5d23eb118</v>
      </c>
      <c r="C331" t="inlineStr">
        <is>
          <t>3.4G</t>
        </is>
      </c>
      <c r="D331" t="inlineStr">
        <is>
          <t>/西游记/作文/学习/K12/学龄儿童家长</t>
        </is>
      </c>
      <c r="E331" t="inlineStr">
        <is>
          <t>https://dcn8qexvg13r.feishu.cn/share/base/query/shrcnMqxwwRkV3NUIUxPeab3sec</t>
        </is>
      </c>
      <c r="F331" t="inlineStr">
        <is>
          <t>请添加微信：k846211</t>
        </is>
      </c>
      <c r="G331" t="inlineStr">
        <is>
          <t>2025-11-13</t>
        </is>
      </c>
    </row>
    <row r="332" ht="25.5" customHeight="1">
      <c r="A332" t="inlineStr">
        <is>
          <t>给孩子的高分作文课(1)(1)</t>
        </is>
      </c>
      <c r="B332" s="2" t="str">
        <f>=HYPERLINK("https://pan.quark.cn/s/92e11e73fb26", "https://pan.quark.cn/s/92e11e73fb26")</f>
        <v>https://pan.quark.cn/s/92e11e73fb26</v>
      </c>
      <c r="C332" t="inlineStr">
        <is>
          <t>1.7G</t>
        </is>
      </c>
      <c r="D332" t="inlineStr">
        <is>
          <t>/作文/高分/课程/学习/K12/学龄儿童家长</t>
        </is>
      </c>
      <c r="E332" t="inlineStr">
        <is>
          <t>https://dcn8qexvg13r.feishu.cn/share/base/query/shrcnMqxwwRkV3NUIUxPeab3sec</t>
        </is>
      </c>
      <c r="F332" t="inlineStr">
        <is>
          <t>请添加微信：k846211</t>
        </is>
      </c>
      <c r="G332" t="inlineStr">
        <is>
          <t>2025-11-13</t>
        </is>
      </c>
    </row>
    <row r="333" ht="25.5" customHeight="1">
      <c r="A333" t="inlineStr">
        <is>
          <t>课文里的写作密码1-6年级(1)</t>
        </is>
      </c>
      <c r="B333" s="2" t="str">
        <f>=HYPERLINK("https://pan.quark.cn/s/f3acbf33311a", "https://pan.quark.cn/s/f3acbf33311a")</f>
        <v>https://pan.quark.cn/s/f3acbf33311a</v>
      </c>
      <c r="C333" t="inlineStr">
        <is>
          <t>14.8G</t>
        </is>
      </c>
      <c r="D333" t="inlineStr">
        <is>
          <t>/写作技巧/小学语文/1-6年级/写作方法/K12/学龄儿童家长</t>
        </is>
      </c>
      <c r="E333" t="inlineStr">
        <is>
          <t>https://dcn8qexvg13r.feishu.cn/share/base/query/shrcnMqxwwRkV3NUIUxPeab3sec</t>
        </is>
      </c>
      <c r="F333" t="inlineStr">
        <is>
          <t>请添加微信：k846211</t>
        </is>
      </c>
      <c r="G333" t="inlineStr">
        <is>
          <t>2025-11-13</t>
        </is>
      </c>
    </row>
    <row r="334" ht="25.5" customHeight="1">
      <c r="A334" t="inlineStr">
        <is>
          <t>猫博士分阶写作课L1～6(1)</t>
        </is>
      </c>
      <c r="B334" s="2" t="str">
        <f>=HYPERLINK("https://pan.quark.cn/s/e4239a229d3b", "https://pan.quark.cn/s/e4239a229d3b")</f>
        <v>https://pan.quark.cn/s/e4239a229d3b</v>
      </c>
      <c r="C334" t="inlineStr">
        <is>
          <t>9.8G</t>
        </is>
      </c>
      <c r="D334" t="inlineStr">
        <is>
          <t>/写作课/分阶教学/L1-L6/猫博士/K12/学龄儿童家长</t>
        </is>
      </c>
      <c r="E334" t="inlineStr">
        <is>
          <t>https://dcn8qexvg13r.feishu.cn/share/base/query/shrcnMqxwwRkV3NUIUxPeab3sec</t>
        </is>
      </c>
      <c r="F334" t="inlineStr">
        <is>
          <t>请添加微信：k846211</t>
        </is>
      </c>
      <c r="G334" t="inlineStr">
        <is>
          <t>2025-11-13</t>
        </is>
      </c>
    </row>
    <row r="335" ht="25.5" customHeight="1">
      <c r="A335" t="inlineStr">
        <is>
          <t>木老师生活写作104法(1)(1)</t>
        </is>
      </c>
      <c r="B335" s="2" t="str">
        <f>=HYPERLINK("https://pan.quark.cn/s/43652d01ac98", "https://pan.quark.cn/s/43652d01ac98")</f>
        <v>https://pan.quark.cn/s/43652d01ac98</v>
      </c>
      <c r="C335" t="inlineStr">
        <is>
          <t>4.7G</t>
        </is>
      </c>
      <c r="D335" t="inlineStr">
        <is>
          <t>/生活写作/写作方法/木老师/技能入门/大学生/白领</t>
        </is>
      </c>
      <c r="E335" t="inlineStr">
        <is>
          <t>https://dcn8qexvg13r.feishu.cn/share/base/query/shrcnMqxwwRkV3NUIUxPeab3sec</t>
        </is>
      </c>
      <c r="F335" t="inlineStr">
        <is>
          <t>请添加微信：k846211</t>
        </is>
      </c>
      <c r="G335" t="inlineStr">
        <is>
          <t>2025-11-13</t>
        </is>
      </c>
    </row>
    <row r="336" ht="25.5" customHeight="1">
      <c r="A336" t="inlineStr">
        <is>
          <t>木老师生活写作104法(2)</t>
        </is>
      </c>
      <c r="B336" s="2" t="str">
        <f>=HYPERLINK("https://pan.quark.cn/s/5a866c8dd774", "https://pan.quark.cn/s/5a866c8dd774")</f>
        <v>https://pan.quark.cn/s/5a866c8dd774</v>
      </c>
      <c r="C336" t="inlineStr">
        <is>
          <t>4.7G</t>
        </is>
      </c>
      <c r="D336" t="inlineStr">
        <is>
          <t>/生活写作/写作方法/写作技巧/宝妈/家长群体/其他</t>
        </is>
      </c>
      <c r="E336" t="inlineStr">
        <is>
          <t>https://dcn8qexvg13r.feishu.cn/share/base/query/shrcnMqxwwRkV3NUIUxPeab3sec</t>
        </is>
      </c>
      <c r="F336" t="inlineStr">
        <is>
          <t>请添加微信：k846211</t>
        </is>
      </c>
      <c r="G336" t="inlineStr">
        <is>
          <t>2025-11-13</t>
        </is>
      </c>
    </row>
    <row r="337" ht="25.5" customHeight="1">
      <c r="A337" t="inlineStr">
        <is>
          <t>培养孩子强大阅读力的必修课(1)</t>
        </is>
      </c>
      <c r="B337" s="2" t="str">
        <f>=HYPERLINK("https://pan.quark.cn/s/c00478d7c8dd", "https://pan.quark.cn/s/c00478d7c8dd")</f>
        <v>https://pan.quark.cn/s/c00478d7c8dd</v>
      </c>
      <c r="C337" t="inlineStr">
        <is>
          <t>410.1M</t>
        </is>
      </c>
      <c r="D337" t="inlineStr">
        <is>
          <t>/阅读力培养/课程/孩子教育/宝妈/家长群体/学龄儿童家长</t>
        </is>
      </c>
      <c r="E337" t="inlineStr">
        <is>
          <t>https://dcn8qexvg13r.feishu.cn/share/base/query/shrcnMqxwwRkV3NUIUxPeab3sec</t>
        </is>
      </c>
      <c r="F337" t="inlineStr">
        <is>
          <t>请添加微信：k846211</t>
        </is>
      </c>
      <c r="G337" t="inlineStr">
        <is>
          <t>2025-11-13</t>
        </is>
      </c>
    </row>
    <row r="338" ht="25.5" customHeight="1">
      <c r="A338" t="inlineStr">
        <is>
          <t>神奇图书馆(1)(1)</t>
        </is>
      </c>
      <c r="B338" s="2" t="str">
        <f>=HYPERLINK("https://pan.quark.cn/s/74b998e369cf", "https://pan.quark.cn/s/74b998e369cf")</f>
        <v>https://pan.quark.cn/s/74b998e369cf</v>
      </c>
      <c r="C338" t="inlineStr">
        <is>
          <t>6.7G</t>
        </is>
      </c>
      <c r="D338" t="inlineStr">
        <is>
          <t>/图书馆/奇幻/儿童读物/学龄儿童家长/K12</t>
        </is>
      </c>
      <c r="E338" t="inlineStr">
        <is>
          <t>https://dcn8qexvg13r.feishu.cn/share/base/query/shrcnMqxwwRkV3NUIUxPeab3sec</t>
        </is>
      </c>
      <c r="F338" t="inlineStr">
        <is>
          <t>请添加微信：k846211</t>
        </is>
      </c>
      <c r="G338" t="inlineStr">
        <is>
          <t>2025-11-13</t>
        </is>
      </c>
    </row>
    <row r="339" ht="25.5" customHeight="1">
      <c r="A339" t="inlineStr">
        <is>
          <t>听糖豆老师精讲散文（精读课+仿写课）(1)</t>
        </is>
      </c>
      <c r="B339" s="2" t="str">
        <f>=HYPERLINK("https://pan.quark.cn/s/c72c705ff4dd", "https://pan.quark.cn/s/c72c705ff4dd")</f>
        <v>https://pan.quark.cn/s/c72c705ff4dd</v>
      </c>
      <c r="C339" t="inlineStr">
        <is>
          <t>19G</t>
        </is>
      </c>
      <c r="D339" t="inlineStr">
        <is>
          <t>/散文/精读/仿写/写作/K12/宝妈/家长群体</t>
        </is>
      </c>
      <c r="E339" t="inlineStr">
        <is>
          <t>https://dcn8qexvg13r.feishu.cn/share/base/query/shrcnMqxwwRkV3NUIUxPeab3sec</t>
        </is>
      </c>
      <c r="F339" t="inlineStr">
        <is>
          <t>请添加微信：k846211</t>
        </is>
      </c>
      <c r="G339" t="inlineStr">
        <is>
          <t>2025-11-13</t>
        </is>
      </c>
    </row>
    <row r="340" ht="25.5" customHeight="1">
      <c r="A340" t="inlineStr">
        <is>
          <t>文老师讲作文-五感法（二）(1)</t>
        </is>
      </c>
      <c r="B340" s="2" t="str">
        <f>=HYPERLINK("https://pan.quark.cn/s/18564f75fed0", "https://pan.quark.cn/s/18564f75fed0")</f>
        <v>https://pan.quark.cn/s/18564f75fed0</v>
      </c>
      <c r="C340" t="inlineStr">
        <is>
          <t>9.1G</t>
        </is>
      </c>
      <c r="D340" t="inlineStr">
        <is>
          <t>/作文/五感法/教学/K12/学龄儿童家长</t>
        </is>
      </c>
      <c r="E340" t="inlineStr">
        <is>
          <t>https://dcn8qexvg13r.feishu.cn/share/base/query/shrcnMqxwwRkV3NUIUxPeab3sec</t>
        </is>
      </c>
      <c r="F340" t="inlineStr">
        <is>
          <t>请添加微信：k846211</t>
        </is>
      </c>
      <c r="G340" t="inlineStr">
        <is>
          <t>2025-11-13</t>
        </is>
      </c>
    </row>
    <row r="341" ht="25.5" customHeight="1">
      <c r="A341" t="inlineStr">
        <is>
          <t>文老师作文技巧课(1)</t>
        </is>
      </c>
      <c r="B341" s="2" t="str">
        <f>=HYPERLINK("https://pan.quark.cn/s/1ae6c5020409", "https://pan.quark.cn/s/1ae6c5020409")</f>
        <v>https://pan.quark.cn/s/1ae6c5020409</v>
      </c>
      <c r="C341" t="inlineStr">
        <is>
          <t>2.9G</t>
        </is>
      </c>
      <c r="D341" t="inlineStr">
        <is>
          <t>/作文技巧/课程/写作提升/K12/学龄儿童家长</t>
        </is>
      </c>
      <c r="E341" t="inlineStr">
        <is>
          <t>https://dcn8qexvg13r.feishu.cn/share/base/query/shrcnMqxwwRkV3NUIUxPeab3sec</t>
        </is>
      </c>
      <c r="F341" t="inlineStr">
        <is>
          <t>请添加微信：k846211</t>
        </is>
      </c>
      <c r="G341" t="inlineStr">
        <is>
          <t>2025-11-13</t>
        </is>
      </c>
    </row>
    <row r="342" ht="25.5" customHeight="1">
      <c r="A342" t="inlineStr">
        <is>
          <t>有道阅读写作(1)</t>
        </is>
      </c>
      <c r="B342" s="2" t="str">
        <f>=HYPERLINK("https://pan.quark.cn/s/86e80d551a26", "https://pan.quark.cn/s/86e80d551a26")</f>
        <v>https://pan.quark.cn/s/86e80d551a26</v>
      </c>
      <c r="C342" t="inlineStr">
        <is>
          <t>42.6G</t>
        </is>
      </c>
      <c r="D342" t="inlineStr">
        <is>
          <t>/阅读/写作/语言/大学生/考研/考公/考证党</t>
        </is>
      </c>
      <c r="E342" t="inlineStr">
        <is>
          <t>https://dcn8qexvg13r.feishu.cn/share/base/query/shrcnMqxwwRkV3NUIUxPeab3sec</t>
        </is>
      </c>
      <c r="F342" t="inlineStr">
        <is>
          <t>请添加微信：k846211</t>
        </is>
      </c>
      <c r="G342" t="inlineStr">
        <is>
          <t>2025-11-13</t>
        </is>
      </c>
    </row>
    <row r="343" ht="25.5" customHeight="1">
      <c r="A343" t="inlineStr">
        <is>
          <t>杨奇函写作课(1)</t>
        </is>
      </c>
      <c r="B343" s="2" t="str">
        <f>=HYPERLINK("https://pan.quark.cn/s/f601f3bed86d", "https://pan.quark.cn/s/f601f3bed86d")</f>
        <v>https://pan.quark.cn/s/f601f3bed86d</v>
      </c>
      <c r="C343" t="inlineStr">
        <is>
          <t>3.5G</t>
        </is>
      </c>
      <c r="D343" t="inlineStr">
        <is>
          <t>/写作/课程/写作技巧/大学生/考研/考公/考证党/白领</t>
        </is>
      </c>
      <c r="E343" t="inlineStr">
        <is>
          <t>https://dcn8qexvg13r.feishu.cn/share/base/query/shrcnMqxwwRkV3NUIUxPeab3sec</t>
        </is>
      </c>
      <c r="F343" t="inlineStr">
        <is>
          <t>请添加微信：k846211</t>
        </is>
      </c>
      <c r="G343" t="inlineStr">
        <is>
          <t>2025-11-13</t>
        </is>
      </c>
    </row>
    <row r="344" ht="25.5" customHeight="1">
      <c r="A344" t="inlineStr">
        <is>
          <t>云舒写小学写作文素材(1)</t>
        </is>
      </c>
      <c r="B344" s="2" t="str">
        <f>=HYPERLINK("https://pan.quark.cn/s/c14e210a7589", "https://pan.quark.cn/s/c14e210a7589")</f>
        <v>https://pan.quark.cn/s/c14e210a7589</v>
      </c>
      <c r="C344" t="inlineStr">
        <is>
          <t>12.3G</t>
        </is>
      </c>
      <c r="D344" t="inlineStr">
        <is>
          <t>/小学作文/写作素材/云舒写/作文素材/K12/学龄儿童家长</t>
        </is>
      </c>
      <c r="E344" t="inlineStr">
        <is>
          <t>https://dcn8qexvg13r.feishu.cn/share/base/query/shrcnMqxwwRkV3NUIUxPeab3sec</t>
        </is>
      </c>
      <c r="F344" t="inlineStr">
        <is>
          <t>请添加微信：k846211</t>
        </is>
      </c>
      <c r="G344" t="inlineStr">
        <is>
          <t>2025-11-13</t>
        </is>
      </c>
    </row>
    <row r="345" ht="25.5" customHeight="1">
      <c r="A345" t="inlineStr">
        <is>
          <t>云舒写作文动画(1)</t>
        </is>
      </c>
      <c r="B345" s="2" t="str">
        <f>=HYPERLINK("https://pan.quark.cn/s/b8b1dda440f3", "https://pan.quark.cn/s/b8b1dda440f3")</f>
        <v>https://pan.quark.cn/s/b8b1dda440f3</v>
      </c>
      <c r="C345" t="inlineStr">
        <is>
          <t>25.5G</t>
        </is>
      </c>
      <c r="D345" t="inlineStr">
        <is>
          <t>/作文/动画/写作学习/云舒写/K12/学龄儿童家长</t>
        </is>
      </c>
      <c r="E345" t="inlineStr">
        <is>
          <t>https://dcn8qexvg13r.feishu.cn/share/base/query/shrcnMqxwwRkV3NUIUxPeab3sec</t>
        </is>
      </c>
      <c r="F345" t="inlineStr">
        <is>
          <t>请添加微信：k846211</t>
        </is>
      </c>
      <c r="G345" t="inlineStr">
        <is>
          <t>2025-11-13</t>
        </is>
      </c>
    </row>
    <row r="346" ht="25.5" customHeight="1">
      <c r="A346" t="inlineStr">
        <is>
          <t>作文敲敲门5册视频课(1)</t>
        </is>
      </c>
      <c r="B346" s="2" t="str">
        <f>=HYPERLINK("https://pan.quark.cn/s/d208bc4e5ea5", "https://pan.quark.cn/s/d208bc4e5ea5")</f>
        <v>https://pan.quark.cn/s/d208bc4e5ea5</v>
      </c>
      <c r="C346" t="inlineStr">
        <is>
          <t>9.6G</t>
        </is>
      </c>
      <c r="D346" t="inlineStr">
        <is>
          <t>/作文/视频课/写作指导/学龄儿童家长/K12</t>
        </is>
      </c>
      <c r="E346" t="inlineStr">
        <is>
          <t>https://dcn8qexvg13r.feishu.cn/share/base/query/shrcnMqxwwRkV3NUIUxPeab3sec</t>
        </is>
      </c>
      <c r="F346" t="inlineStr">
        <is>
          <t>请添加微信：k846211</t>
        </is>
      </c>
      <c r="G346" t="inlineStr">
        <is>
          <t>2025-11-13</t>
        </is>
      </c>
    </row>
    <row r="347" ht="25.5" customHeight="1">
      <c r="A347" t="inlineStr">
        <is>
          <t>1-6年级语文必背汇总_满分资料专属</t>
        </is>
      </c>
      <c r="B347" s="2" t="str">
        <f>=HYPERLINK("https://pan.quark.cn/s/58f5785624db", "https://pan.quark.cn/s/58f5785624db")</f>
        <v>https://pan.quark.cn/s/58f5785624db</v>
      </c>
      <c r="C347" t="inlineStr">
        <is>
          <t>4.4M</t>
        </is>
      </c>
      <c r="D347" t="inlineStr">
        <is>
          <t>/语文/必背/1-6年级/满分/K12/学龄儿童家长</t>
        </is>
      </c>
      <c r="E347" t="inlineStr">
        <is>
          <t>https://dcn8qexvg13r.feishu.cn/share/base/query/shrcnMqxwwRkV3NUIUxPeab3sec</t>
        </is>
      </c>
      <c r="F347" t="inlineStr">
        <is>
          <t>请添加微信：k846211</t>
        </is>
      </c>
      <c r="G347" t="inlineStr">
        <is>
          <t>2025-11-13</t>
        </is>
      </c>
    </row>
    <row r="348" ht="25.5" customHeight="1">
      <c r="A348" t="inlineStr">
        <is>
          <t>1~6年级升学衔接</t>
        </is>
      </c>
      <c r="B348" s="2" t="str">
        <f>=HYPERLINK("https://pan.quark.cn/s/ab0db283223d", "https://pan.quark.cn/s/ab0db283223d")</f>
        <v>https://pan.quark.cn/s/ab0db283223d</v>
      </c>
      <c r="C348" t="inlineStr">
        <is>
          <t>2.2G</t>
        </is>
      </c>
      <c r="D348" t="inlineStr">
        <is>
          <t>/升学衔接/小学/学习过渡/知识衔接/学龄儿童家长</t>
        </is>
      </c>
      <c r="E348" t="inlineStr">
        <is>
          <t>https://dcn8qexvg13r.feishu.cn/share/base/query/shrcnMqxwwRkV3NUIUxPeab3sec</t>
        </is>
      </c>
      <c r="F348" t="inlineStr">
        <is>
          <t>请添加微信：k846211</t>
        </is>
      </c>
      <c r="G348" t="inlineStr">
        <is>
          <t>2025-11-13</t>
        </is>
      </c>
    </row>
    <row r="349" ht="25.5" customHeight="1">
      <c r="A349" t="inlineStr">
        <is>
          <t>002.宇神奥数课程15套【视频+PDF】【完结】</t>
        </is>
      </c>
      <c r="B349" s="2" t="str">
        <f>=HYPERLINK("https://pan.quark.cn/s/a170d61d5fc7", "https://pan.quark.cn/s/a170d61d5fc7")</f>
        <v>https://pan.quark.cn/s/a170d61d5fc7</v>
      </c>
      <c r="C349" t="inlineStr">
        <is>
          <t>166.4G</t>
        </is>
      </c>
      <c r="D349" t="inlineStr">
        <is>
          <t>/奥数/视频课程/PDF资料/宇神课程/K12/学龄儿童家长</t>
        </is>
      </c>
      <c r="E349" t="inlineStr">
        <is>
          <t>https://dcn8qexvg13r.feishu.cn/share/base/query/shrcnMqxwwRkV3NUIUxPeab3sec</t>
        </is>
      </c>
      <c r="F349" t="inlineStr">
        <is>
          <t>请添加微信：k846211</t>
        </is>
      </c>
      <c r="G349" t="inlineStr">
        <is>
          <t>2025-11-13</t>
        </is>
      </c>
    </row>
    <row r="350" ht="25.5" customHeight="1">
      <c r="A350" t="inlineStr">
        <is>
          <t>2、丁丁思维提升课（L1-L6年级合集）</t>
        </is>
      </c>
      <c r="B350" s="2" t="str">
        <f>=HYPERLINK("https://pan.quark.cn/s/ddc051f3d2c5", "https://pan.quark.cn/s/ddc051f3d2c5")</f>
        <v>https://pan.quark.cn/s/ddc051f3d2c5</v>
      </c>
      <c r="C350" t="inlineStr">
        <is>
          <t>40.4G</t>
        </is>
      </c>
      <c r="D350" t="inlineStr">
        <is>
          <t>/丁丁思维提升课/思维训练/课程/L1-L6年级/K12/学龄儿童家长</t>
        </is>
      </c>
      <c r="E350" t="inlineStr">
        <is>
          <t>https://dcn8qexvg13r.feishu.cn/share/base/query/shrcnMqxwwRkV3NUIUxPeab3sec</t>
        </is>
      </c>
      <c r="F350" t="inlineStr">
        <is>
          <t>请添加微信：k846211</t>
        </is>
      </c>
      <c r="G350" t="inlineStr">
        <is>
          <t>2025-11-13</t>
        </is>
      </c>
    </row>
    <row r="351" ht="25.5" customHeight="1">
      <c r="A351" t="inlineStr">
        <is>
          <t>2024全年小红书1-6年级收费资源完整版</t>
        </is>
      </c>
      <c r="B351" s="2" t="str">
        <f>=HYPERLINK("https://pan.quark.cn/s/76831f132fb0", "https://pan.quark.cn/s/76831f132fb0")</f>
        <v>https://pan.quark.cn/s/76831f132fb0</v>
      </c>
      <c r="C351" t="inlineStr">
        <is>
          <t>4.2G</t>
        </is>
      </c>
      <c r="D351" t="inlineStr">
        <is>
          <t>/小红书/1-6年级/收费资源/K12/宝妈/家长群体/学龄儿童家长</t>
        </is>
      </c>
      <c r="E351" t="inlineStr">
        <is>
          <t>https://dcn8qexvg13r.feishu.cn/share/base/query/shrcnMqxwwRkV3NUIUxPeab3sec</t>
        </is>
      </c>
      <c r="F351" t="inlineStr">
        <is>
          <t>请添加微信：k846211</t>
        </is>
      </c>
      <c r="G351" t="inlineStr">
        <is>
          <t>2025-11-13</t>
        </is>
      </c>
    </row>
    <row r="352" ht="25.5" customHeight="1">
      <c r="A352" t="inlineStr">
        <is>
          <t>25秋人教部编版六年级上册语文《全册知识梳理+单元期中期末归类复习专项训练》（附答案）</t>
        </is>
      </c>
      <c r="B352" s="2" t="str">
        <f>=HYPERLINK("https://pan.quark.cn/s/647f6bd2f9de", "https://pan.quark.cn/s/647f6bd2f9de")</f>
        <v>https://pan.quark.cn/s/647f6bd2f9de</v>
      </c>
      <c r="C352" t="inlineStr">
        <is>
          <t>6M</t>
        </is>
      </c>
      <c r="D352" t="inlineStr">
        <is>
          <t>/六年级上册语文/知识梳理/专项训练/人教部编版/K12/学龄儿童家长</t>
        </is>
      </c>
      <c r="E352" t="inlineStr">
        <is>
          <t>https://dcn8qexvg13r.feishu.cn/share/base/query/shrcnMqxwwRkV3NUIUxPeab3sec</t>
        </is>
      </c>
      <c r="F352" t="inlineStr">
        <is>
          <t>请添加微信：k846211</t>
        </is>
      </c>
      <c r="G352" t="inlineStr">
        <is>
          <t>2025-11-13</t>
        </is>
      </c>
    </row>
    <row r="353" ht="25.5" customHeight="1">
      <c r="A353" t="inlineStr">
        <is>
          <t>部编版语文六年级（上）期中测试卷3（含答案）.pdf</t>
        </is>
      </c>
      <c r="B353" s="2" t="str">
        <f>=HYPERLINK("https://pan.quark.cn/s/9a822900b4ac", "https://pan.quark.cn/s/9a822900b4ac")</f>
        <v>https://pan.quark.cn/s/9a822900b4ac</v>
      </c>
      <c r="C353" t="inlineStr">
        <is>
          <t>462.2K</t>
        </is>
      </c>
      <c r="D353" t="inlineStr">
        <is>
          <t>/部编版语文/六年级上册/期中测试卷/含答案/K12/学龄儿童家长</t>
        </is>
      </c>
      <c r="E353" t="inlineStr">
        <is>
          <t>https://dcn8qexvg13r.feishu.cn/share/base/query/shrcnMqxwwRkV3NUIUxPeab3sec</t>
        </is>
      </c>
      <c r="F353" t="inlineStr">
        <is>
          <t>请添加微信：k846211</t>
        </is>
      </c>
      <c r="G353" t="inlineStr">
        <is>
          <t>2025-11-13</t>
        </is>
      </c>
    </row>
    <row r="354" ht="25.5" customHeight="1">
      <c r="A354" t="inlineStr">
        <is>
          <t>部编版语文六年级（上）期中测试卷2（含答案）.pdf</t>
        </is>
      </c>
      <c r="B354" s="2" t="str">
        <f>=HYPERLINK("https://pan.quark.cn/s/6a43a9ff003f", "https://pan.quark.cn/s/6a43a9ff003f")</f>
        <v>https://pan.quark.cn/s/6a43a9ff003f</v>
      </c>
      <c r="C354" t="inlineStr">
        <is>
          <t>553.3K</t>
        </is>
      </c>
      <c r="D354" t="inlineStr">
        <is>
          <t>/语文/六年级上册/期中测试卷/含答案/K12/学龄儿童家长</t>
        </is>
      </c>
      <c r="E354" t="inlineStr">
        <is>
          <t>https://dcn8qexvg13r.feishu.cn/share/base/query/shrcnMqxwwRkV3NUIUxPeab3sec</t>
        </is>
      </c>
      <c r="F354" t="inlineStr">
        <is>
          <t>请添加微信：k846211</t>
        </is>
      </c>
      <c r="G354" t="inlineStr">
        <is>
          <t>2025-11-13</t>
        </is>
      </c>
    </row>
    <row r="355" ht="25.5" customHeight="1">
      <c r="A355" t="inlineStr">
        <is>
          <t>部编版语文六年级（上）期中测试卷4（含答案）.pdf</t>
        </is>
      </c>
      <c r="B355" s="2" t="str">
        <f>=HYPERLINK("https://pan.quark.cn/s/9232a8e43737", "https://pan.quark.cn/s/9232a8e43737")</f>
        <v>https://pan.quark.cn/s/9232a8e43737</v>
      </c>
      <c r="C355" t="inlineStr">
        <is>
          <t>325.3K</t>
        </is>
      </c>
      <c r="D355" t="inlineStr">
        <is>
          <t>/部编版语文/六年级上册/期中测试卷/含答案/K12/学龄儿童家长</t>
        </is>
      </c>
      <c r="E355" t="inlineStr">
        <is>
          <t>https://dcn8qexvg13r.feishu.cn/share/base/query/shrcnMqxwwRkV3NUIUxPeab3sec</t>
        </is>
      </c>
      <c r="F355" t="inlineStr">
        <is>
          <t>请添加微信：k846211</t>
        </is>
      </c>
      <c r="G355" t="inlineStr">
        <is>
          <t>2025-11-13</t>
        </is>
      </c>
    </row>
    <row r="356" ht="25.5" customHeight="1">
      <c r="A356" t="inlineStr">
        <is>
          <t>部编版语文六年级（上）期中测试卷7（含答案）.pdf</t>
        </is>
      </c>
      <c r="B356" s="2" t="str">
        <f>=HYPERLINK("https://pan.quark.cn/s/c364d443b59c", "https://pan.quark.cn/s/c364d443b59c")</f>
        <v>https://pan.quark.cn/s/c364d443b59c</v>
      </c>
      <c r="C356" t="inlineStr">
        <is>
          <t>660.4K</t>
        </is>
      </c>
      <c r="D356" t="inlineStr">
        <is>
          <t>/语文/六年级上/期中测试卷/含答案/K12/学龄儿童家长</t>
        </is>
      </c>
      <c r="E356" t="inlineStr">
        <is>
          <t>https://dcn8qexvg13r.feishu.cn/share/base/query/shrcnMqxwwRkV3NUIUxPeab3sec</t>
        </is>
      </c>
      <c r="F356" t="inlineStr">
        <is>
          <t>请添加微信：k846211</t>
        </is>
      </c>
      <c r="G356" t="inlineStr">
        <is>
          <t>2025-11-13</t>
        </is>
      </c>
    </row>
    <row r="357" ht="25.5" customHeight="1">
      <c r="A357" t="inlineStr">
        <is>
          <t>【期中试卷】24秋六年级上册语文（基础卷01）（考试版A3）.pdf</t>
        </is>
      </c>
      <c r="B357" s="2" t="str">
        <f>=HYPERLINK("https://pan.quark.cn/s/56b8a6ec6d2e", "https://pan.quark.cn/s/56b8a6ec6d2e")</f>
        <v>https://pan.quark.cn/s/56b8a6ec6d2e</v>
      </c>
      <c r="C357" t="inlineStr">
        <is>
          <t>505.1K</t>
        </is>
      </c>
      <c r="D357" t="inlineStr">
        <is>
          <t>/六年级上册语文/期中试卷/基础卷/考试版/K12/学龄儿童家长</t>
        </is>
      </c>
      <c r="E357" t="inlineStr">
        <is>
          <t>https://dcn8qexvg13r.feishu.cn/share/base/query/shrcnMqxwwRkV3NUIUxPeab3sec</t>
        </is>
      </c>
      <c r="F357" t="inlineStr">
        <is>
          <t>请添加微信：k846211</t>
        </is>
      </c>
      <c r="G357" t="inlineStr">
        <is>
          <t>2025-11-13</t>
        </is>
      </c>
    </row>
    <row r="358" ht="25.5" customHeight="1">
      <c r="A358" t="inlineStr">
        <is>
          <t>【期中试卷】24秋六年级上册语文（基础卷01）（参考解析）.pdf</t>
        </is>
      </c>
      <c r="B358" s="2" t="str">
        <f>=HYPERLINK("https://pan.quark.cn/s/a6234ac85937", "https://pan.quark.cn/s/a6234ac85937")</f>
        <v>https://pan.quark.cn/s/a6234ac85937</v>
      </c>
      <c r="C358" t="inlineStr">
        <is>
          <t>804.7K</t>
        </is>
      </c>
      <c r="D358" t="inlineStr">
        <is>
          <t>/六年级语文/期中试卷/基础卷/参考解析/K12/学龄儿童家长</t>
        </is>
      </c>
      <c r="E358" t="inlineStr">
        <is>
          <t>https://dcn8qexvg13r.feishu.cn/share/base/query/shrcnMqxwwRkV3NUIUxPeab3sec</t>
        </is>
      </c>
      <c r="F358" t="inlineStr">
        <is>
          <t>请添加微信：k846211</t>
        </is>
      </c>
      <c r="G358" t="inlineStr">
        <is>
          <t>2025-11-13</t>
        </is>
      </c>
    </row>
    <row r="359" ht="25.5" customHeight="1">
      <c r="A359" t="inlineStr">
        <is>
          <t>部编版语文六年级（上）期中测试卷1（含答案）.pdf</t>
        </is>
      </c>
      <c r="B359" s="2" t="str">
        <f>=HYPERLINK("https://pan.quark.cn/s/e40b8989d324", "https://pan.quark.cn/s/e40b8989d324")</f>
        <v>https://pan.quark.cn/s/e40b8989d324</v>
      </c>
      <c r="C359" t="inlineStr">
        <is>
          <t>562.9K</t>
        </is>
      </c>
      <c r="D359" t="inlineStr">
        <is>
          <t>/语文/六年级上/期中测试/含答案/K12/学龄儿童家长</t>
        </is>
      </c>
      <c r="E359" t="inlineStr">
        <is>
          <t>https://dcn8qexvg13r.feishu.cn/share/base/query/shrcnMqxwwRkV3NUIUxPeab3sec</t>
        </is>
      </c>
      <c r="F359" t="inlineStr">
        <is>
          <t>请添加微信：k846211</t>
        </is>
      </c>
      <c r="G359" t="inlineStr">
        <is>
          <t>2025-11-13</t>
        </is>
      </c>
    </row>
    <row r="360" ht="25.5" customHeight="1">
      <c r="A360" t="inlineStr">
        <is>
          <t>部编版语文六年级（上）期中测试卷8（含答案）.pdf</t>
        </is>
      </c>
      <c r="B360" s="2" t="str">
        <f>=HYPERLINK("https://pan.quark.cn/s/cdc803902c88", "https://pan.quark.cn/s/cdc803902c88")</f>
        <v>https://pan.quark.cn/s/cdc803902c88</v>
      </c>
      <c r="C360" t="inlineStr">
        <is>
          <t>356.5K</t>
        </is>
      </c>
      <c r="D360" t="inlineStr">
        <is>
          <t>/部编版语文/六年级上/期中测试卷/含答案/K12/学龄儿童家长</t>
        </is>
      </c>
      <c r="E360" t="inlineStr">
        <is>
          <t>https://dcn8qexvg13r.feishu.cn/share/base/query/shrcnMqxwwRkV3NUIUxPeab3sec</t>
        </is>
      </c>
      <c r="F360" t="inlineStr">
        <is>
          <t>请添加微信：k846211</t>
        </is>
      </c>
      <c r="G360" t="inlineStr">
        <is>
          <t>2025-11-13</t>
        </is>
      </c>
    </row>
    <row r="361" ht="25.5" customHeight="1">
      <c r="A361" t="inlineStr">
        <is>
          <t>【期中试卷】24秋六年级上册语文（基础卷01）（参考答案）.pdf</t>
        </is>
      </c>
      <c r="B361" s="2" t="str">
        <f>=HYPERLINK("https://pan.quark.cn/s/70074751f1a6", "https://pan.quark.cn/s/70074751f1a6")</f>
        <v>https://pan.quark.cn/s/70074751f1a6</v>
      </c>
      <c r="C361" t="inlineStr">
        <is>
          <t>221.6K</t>
        </is>
      </c>
      <c r="D361" t="inlineStr">
        <is>
          <t>/六年级语文/期中试卷/参考答案/基础卷/K12/学龄儿童家长</t>
        </is>
      </c>
      <c r="E361" t="inlineStr">
        <is>
          <t>https://dcn8qexvg13r.feishu.cn/share/base/query/shrcnMqxwwRkV3NUIUxPeab3sec</t>
        </is>
      </c>
      <c r="F361" t="inlineStr">
        <is>
          <t>请添加微信：k846211</t>
        </is>
      </c>
      <c r="G361" t="inlineStr">
        <is>
          <t>2025-11-13</t>
        </is>
      </c>
    </row>
    <row r="362" ht="25.5" customHeight="1">
      <c r="A362" t="inlineStr">
        <is>
          <t>【期中试卷】24秋六年级上册语文（基础卷01）（考试版A4）.pdf</t>
        </is>
      </c>
      <c r="B362" s="2" t="str">
        <f>=HYPERLINK("https://pan.quark.cn/s/d53daadfe5f3", "https://pan.quark.cn/s/d53daadfe5f3")</f>
        <v>https://pan.quark.cn/s/d53daadfe5f3</v>
      </c>
      <c r="C362" t="inlineStr">
        <is>
          <t>523.4K</t>
        </is>
      </c>
      <c r="D362" t="inlineStr">
        <is>
          <t>/六年级语文/期中试卷/基础卷/考试版/K12/学龄儿童家长</t>
        </is>
      </c>
      <c r="E362" t="inlineStr">
        <is>
          <t>https://dcn8qexvg13r.feishu.cn/share/base/query/shrcnMqxwwRkV3NUIUxPeab3sec</t>
        </is>
      </c>
      <c r="F362" t="inlineStr">
        <is>
          <t>请添加微信：k846211</t>
        </is>
      </c>
      <c r="G362" t="inlineStr">
        <is>
          <t>2025-11-13</t>
        </is>
      </c>
    </row>
    <row r="363" ht="25.5" customHeight="1">
      <c r="A363" t="inlineStr">
        <is>
          <t>1-6年级语文必背汇总_满分资料专属</t>
        </is>
      </c>
      <c r="B363" s="2" t="str">
        <f>=HYPERLINK("https://pan.quark.cn/s/4cdf5262814c", "https://pan.quark.cn/s/4cdf5262814c")</f>
        <v>https://pan.quark.cn/s/4cdf5262814c</v>
      </c>
      <c r="C363" t="inlineStr">
        <is>
          <t>4.4M</t>
        </is>
      </c>
      <c r="D363" t="inlineStr">
        <is>
          <t>/语文/必背/1-6年级/满分/K12/学龄儿童家长</t>
        </is>
      </c>
      <c r="E363" t="inlineStr">
        <is>
          <t>https://dcn8qexvg13r.feishu.cn/share/base/query/shrcnMqxwwRkV3NUIUxPeab3sec</t>
        </is>
      </c>
      <c r="F363" t="inlineStr">
        <is>
          <t>请添加微信：k846211</t>
        </is>
      </c>
      <c r="G363" t="inlineStr">
        <is>
          <t>2025-11-13</t>
        </is>
      </c>
    </row>
    <row r="364" ht="25.5" customHeight="1">
      <c r="A364" t="inlineStr">
        <is>
          <t>1~6年级升学衔接</t>
        </is>
      </c>
      <c r="B364" s="2" t="str">
        <f>=HYPERLINK("https://pan.quark.cn/s/6186a4e39299", "https://pan.quark.cn/s/6186a4e39299")</f>
        <v>https://pan.quark.cn/s/6186a4e39299</v>
      </c>
      <c r="C364" t="inlineStr">
        <is>
          <t>2.2G</t>
        </is>
      </c>
      <c r="D364" t="inlineStr">
        <is>
          <t>/升学衔接/小学/知识过渡/学习准备/学龄儿童家长/K12</t>
        </is>
      </c>
      <c r="E364" t="inlineStr">
        <is>
          <t>https://dcn8qexvg13r.feishu.cn/share/base/query/shrcnMqxwwRkV3NUIUxPeab3sec</t>
        </is>
      </c>
      <c r="F364" t="inlineStr">
        <is>
          <t>请添加微信：k846211</t>
        </is>
      </c>
      <c r="G364" t="inlineStr">
        <is>
          <t>2025-11-13</t>
        </is>
      </c>
    </row>
    <row r="365" ht="25.5" customHeight="1">
      <c r="A365" t="inlineStr">
        <is>
          <t>002.宇神奥数课程15套【视频+PDF】【完结】</t>
        </is>
      </c>
      <c r="B365" s="2" t="str">
        <f>=HYPERLINK("https://pan.quark.cn/s/95f739c80a19", "https://pan.quark.cn/s/95f739c80a19")</f>
        <v>https://pan.quark.cn/s/95f739c80a19</v>
      </c>
      <c r="C365" t="inlineStr">
        <is>
          <t>166.4G</t>
        </is>
      </c>
      <c r="D365" t="inlineStr">
        <is>
          <t>/奥数/视频课程/PDF资料/宇神课程/K12/学龄儿童家长</t>
        </is>
      </c>
      <c r="E365" t="inlineStr">
        <is>
          <t>https://dcn8qexvg13r.feishu.cn/share/base/query/shrcnMqxwwRkV3NUIUxPeab3sec</t>
        </is>
      </c>
      <c r="F365" t="inlineStr">
        <is>
          <t>请添加微信：k846211</t>
        </is>
      </c>
      <c r="G365" t="inlineStr">
        <is>
          <t>2025-11-13</t>
        </is>
      </c>
    </row>
    <row r="366" ht="25.5" customHeight="1">
      <c r="A366" t="inlineStr">
        <is>
          <t>2、丁丁思维提升课（L1-L6年级合集）</t>
        </is>
      </c>
      <c r="B366" s="2" t="str">
        <f>=HYPERLINK("https://pan.quark.cn/s/da237da8477d", "https://pan.quark.cn/s/da237da8477d")</f>
        <v>https://pan.quark.cn/s/da237da8477d</v>
      </c>
      <c r="C366" t="inlineStr">
        <is>
          <t>40.4G</t>
        </is>
      </c>
      <c r="D366" t="inlineStr">
        <is>
          <t>/丁丁思维/思维提升/L1-L6年级/课程/K12/学龄儿童家长</t>
        </is>
      </c>
      <c r="E366" t="inlineStr">
        <is>
          <t>https://dcn8qexvg13r.feishu.cn/share/base/query/shrcnMqxwwRkV3NUIUxPeab3sec</t>
        </is>
      </c>
      <c r="F366" t="inlineStr">
        <is>
          <t>请添加微信：k846211</t>
        </is>
      </c>
      <c r="G366" t="inlineStr">
        <is>
          <t>2025-11-13</t>
        </is>
      </c>
    </row>
    <row r="367" ht="25.5" customHeight="1">
      <c r="A367" t="inlineStr">
        <is>
          <t>2024全年小红书1-6年级收费资源完整版</t>
        </is>
      </c>
      <c r="B367" s="2" t="str">
        <f>=HYPERLINK("https://pan.quark.cn/s/8638d4733bd8", "https://pan.quark.cn/s/8638d4733bd8")</f>
        <v>https://pan.quark.cn/s/8638d4733bd8</v>
      </c>
      <c r="C367" t="inlineStr">
        <is>
          <t>4.2G</t>
        </is>
      </c>
      <c r="D367" t="inlineStr">
        <is>
          <t>/小红书/1-6年级/K12/收费资源/学龄儿童家长/宝妈/家长群体</t>
        </is>
      </c>
      <c r="E367" t="inlineStr">
        <is>
          <t>https://dcn8qexvg13r.feishu.cn/share/base/query/shrcnMqxwwRkV3NUIUxPeab3sec</t>
        </is>
      </c>
      <c r="F367" t="inlineStr">
        <is>
          <t>请添加微信：k846211</t>
        </is>
      </c>
      <c r="G367" t="inlineStr">
        <is>
          <t>2025-11-13</t>
        </is>
      </c>
    </row>
    <row r="368" ht="25.5" customHeight="1">
      <c r="A368" t="inlineStr">
        <is>
          <t>_牧云歌_学习白皮书：内驱力+标准学习+高效方法+学习规划_牧云歌</t>
        </is>
      </c>
      <c r="B368" s="2" t="str">
        <f>=HYPERLINK("https://pan.quark.cn/s/0632379ac2fc", "https://pan.quark.cn/s/0632379ac2fc")</f>
        <v>https://pan.quark.cn/s/0632379ac2fc</v>
      </c>
      <c r="C368" t="inlineStr">
        <is>
          <t>4G</t>
        </is>
      </c>
      <c r="D368" t="inlineStr">
        <is>
          <t>/内驱力/标准学习/高效方法/学习规划/学习白皮书/K12/大学生/考研/考公/考证党</t>
        </is>
      </c>
      <c r="E368" t="inlineStr">
        <is>
          <t>https://dcn8qexvg13r.feishu.cn/share/base/query/shrcnMqxwwRkV3NUIUxPeab3sec</t>
        </is>
      </c>
      <c r="F368" t="inlineStr">
        <is>
          <t>请添加微信：k846211</t>
        </is>
      </c>
      <c r="G368" t="inlineStr">
        <is>
          <t>2025-11-13</t>
        </is>
      </c>
    </row>
    <row r="369" ht="25.5" customHeight="1">
      <c r="A369" t="inlineStr">
        <is>
          <t>北大木兰老师《学霸思维满分数学 (1-6年级) 》</t>
        </is>
      </c>
      <c r="B369" s="2" t="str">
        <f>=HYPERLINK("https://pan.quark.cn/s/f2c90e9faba0", "https://pan.quark.cn/s/f2c90e9faba0")</f>
        <v>https://pan.quark.cn/s/f2c90e9faba0</v>
      </c>
      <c r="C369" t="inlineStr">
        <is>
          <t>25.8G</t>
        </is>
      </c>
      <c r="D369" t="inlineStr">
        <is>
          <t>/数学/学霸思维/1-6年级/北大木兰/学龄儿童家长/K12</t>
        </is>
      </c>
      <c r="E369" t="inlineStr">
        <is>
          <t>https://dcn8qexvg13r.feishu.cn/share/base/query/shrcnMqxwwRkV3NUIUxPeab3sec</t>
        </is>
      </c>
      <c r="F369" t="inlineStr">
        <is>
          <t>请添加微信：k846211</t>
        </is>
      </c>
      <c r="G369" t="inlineStr">
        <is>
          <t>2025-11-13</t>
        </is>
      </c>
    </row>
    <row r="370" ht="25.5" customHeight="1">
      <c r="A370" t="inlineStr">
        <is>
          <t>爆笑中国历史1-4季80集</t>
        </is>
      </c>
      <c r="B370" s="2" t="str">
        <f>=HYPERLINK("https://pan.quark.cn/s/8e96edc32c26", "https://pan.quark.cn/s/8e96edc32c26")</f>
        <v>https://pan.quark.cn/s/8e96edc32c26</v>
      </c>
      <c r="C370" t="inlineStr">
        <is>
          <t>6.9G</t>
        </is>
      </c>
      <c r="D370" t="inlineStr">
        <is>
          <t>/中国历史/爆笑/剧集/历史科普/K12/学龄儿童家长</t>
        </is>
      </c>
      <c r="E370" t="inlineStr">
        <is>
          <t>https://dcn8qexvg13r.feishu.cn/share/base/query/shrcnMqxwwRkV3NUIUxPeab3sec</t>
        </is>
      </c>
      <c r="F370" t="inlineStr">
        <is>
          <t>请添加微信：k846211</t>
        </is>
      </c>
      <c r="G370" t="inlineStr">
        <is>
          <t>2025-11-13</t>
        </is>
      </c>
    </row>
    <row r="371" ht="25.5" customHeight="1">
      <c r="A371" t="inlineStr">
        <is>
          <t>从小学到初中寒假教辅资料大全</t>
        </is>
      </c>
      <c r="B371" s="2" t="str">
        <f>=HYPERLINK("https://pan.quark.cn/s/86a37d4f3ec8", "https://pan.quark.cn/s/86a37d4f3ec8")</f>
        <v>https://pan.quark.cn/s/86a37d4f3ec8</v>
      </c>
      <c r="C371" t="inlineStr">
        <is>
          <t>25.4G</t>
        </is>
      </c>
      <c r="D371" t="inlineStr">
        <is>
          <t>/小学到初中/寒假/教辅/K12/学龄儿童家长</t>
        </is>
      </c>
      <c r="E371" t="inlineStr">
        <is>
          <t>https://dcn8qexvg13r.feishu.cn/share/base/query/shrcnMqxwwRkV3NUIUxPeab3sec</t>
        </is>
      </c>
      <c r="F371" t="inlineStr">
        <is>
          <t>请添加微信：k846211</t>
        </is>
      </c>
      <c r="G371" t="inlineStr">
        <is>
          <t>2025-11-13</t>
        </is>
      </c>
    </row>
    <row r="372" ht="25.5" customHeight="1">
      <c r="A372" t="inlineStr">
        <is>
          <t>豆神大语文《北大学霸高效学习法》</t>
        </is>
      </c>
      <c r="B372" s="2" t="str">
        <f>=HYPERLINK("https://pan.quark.cn/s/b61a99a47c01", "https://pan.quark.cn/s/b61a99a47c01")</f>
        <v>https://pan.quark.cn/s/b61a99a47c01</v>
      </c>
      <c r="C372" t="inlineStr">
        <is>
          <t>632.9M</t>
        </is>
      </c>
      <c r="D372" t="inlineStr">
        <is>
          <t>/大语文/高效学习法/北大学霸/K12/学龄儿童家长</t>
        </is>
      </c>
      <c r="E372" t="inlineStr">
        <is>
          <t>https://dcn8qexvg13r.feishu.cn/share/base/query/shrcnMqxwwRkV3NUIUxPeab3sec</t>
        </is>
      </c>
      <c r="F372" t="inlineStr">
        <is>
          <t>请添加微信：k846211</t>
        </is>
      </c>
      <c r="G372" t="inlineStr">
        <is>
          <t>2025-11-13</t>
        </is>
      </c>
    </row>
    <row r="373" ht="25.5" customHeight="1">
      <c r="A373" t="inlineStr">
        <is>
          <t>厉老师1-6年级系统数学思维提升课</t>
        </is>
      </c>
      <c r="B373" s="2" t="str">
        <f>=HYPERLINK("https://pan.quark.cn/s/aeb329f1c96e", "https://pan.quark.cn/s/aeb329f1c96e")</f>
        <v>https://pan.quark.cn/s/aeb329f1c96e</v>
      </c>
      <c r="C373" t="inlineStr">
        <is>
          <t>52.8G</t>
        </is>
      </c>
      <c r="D373" t="inlineStr">
        <is>
          <t>/小学数学/思维提升/系统课程/1-6年级/K12/学龄儿童家长</t>
        </is>
      </c>
      <c r="E373" t="inlineStr">
        <is>
          <t>https://dcn8qexvg13r.feishu.cn/share/base/query/shrcnMqxwwRkV3NUIUxPeab3sec</t>
        </is>
      </c>
      <c r="F373" t="inlineStr">
        <is>
          <t>请添加微信：k846211</t>
        </is>
      </c>
      <c r="G373" t="inlineStr">
        <is>
          <t>2025-11-13</t>
        </is>
      </c>
    </row>
    <row r="374" ht="25.5" customHeight="1">
      <c r="A374" t="inlineStr">
        <is>
          <t>🍅2025年时文短文+单词本+音频</t>
        </is>
      </c>
      <c r="B374" s="2" t="str">
        <f>=HYPERLINK("https://pan.quark.cn/s/e1f6d012e428", "https://pan.quark.cn/s/e1f6d012e428")</f>
        <v>https://pan.quark.cn/s/e1f6d012e428</v>
      </c>
      <c r="C374" t="inlineStr">
        <is>
          <t>375.6M</t>
        </is>
      </c>
      <c r="D374" t="inlineStr">
        <is>
          <t>/时文短文/单词本/音频/2025年/语言/K12/大学生</t>
        </is>
      </c>
      <c r="E374" t="inlineStr">
        <is>
          <t>https://dcn8qexvg13r.feishu.cn/share/base/query/shrcnMqxwwRkV3NUIUxPeab3sec</t>
        </is>
      </c>
      <c r="F374" t="inlineStr">
        <is>
          <t>请添加微信：k846211</t>
        </is>
      </c>
      <c r="G374" t="inlineStr">
        <is>
          <t>2025-11-13</t>
        </is>
      </c>
    </row>
    <row r="375" ht="25.5" customHeight="1">
      <c r="A375" t="inlineStr">
        <is>
          <t>一本小学语文同步训练1年级上册--自主测评卷.pdf</t>
        </is>
      </c>
      <c r="B375" s="2" t="str">
        <f>=HYPERLINK("https://pan.quark.cn/s/238f283b8362", "https://pan.quark.cn/s/238f283b8362")</f>
        <v>https://pan.quark.cn/s/238f283b8362</v>
      </c>
      <c r="C375" t="inlineStr">
        <is>
          <t>46.6M</t>
        </is>
      </c>
      <c r="D375" t="inlineStr">
        <is>
          <t>/小学语文/1年级上册/同步训练/自主测评/K12/学龄儿童家长</t>
        </is>
      </c>
      <c r="E375" t="inlineStr">
        <is>
          <t>https://dcn8qexvg13r.feishu.cn/share/base/query/shrcnMqxwwRkV3NUIUxPeab3sec</t>
        </is>
      </c>
      <c r="F375" t="inlineStr">
        <is>
          <t>请添加微信：k846211</t>
        </is>
      </c>
      <c r="G375" t="inlineStr">
        <is>
          <t>2025-11-13</t>
        </is>
      </c>
    </row>
    <row r="376" ht="25.5" customHeight="1">
      <c r="A376" t="inlineStr">
        <is>
          <t>一本小学语文同步训练2年级上册-自主测评卷.pdf</t>
        </is>
      </c>
      <c r="B376" s="2" t="str">
        <f>=HYPERLINK("https://pan.quark.cn/s/dff14d4aa965", "https://pan.quark.cn/s/dff14d4aa965")</f>
        <v>https://pan.quark.cn/s/dff14d4aa965</v>
      </c>
      <c r="C376" t="inlineStr">
        <is>
          <t>54.1M</t>
        </is>
      </c>
      <c r="D376" t="inlineStr">
        <is>
          <t>/小学语文/2年级上册/同步训练/自主测评卷/K12/学龄儿童家长</t>
        </is>
      </c>
      <c r="E376" t="inlineStr">
        <is>
          <t>https://dcn8qexvg13r.feishu.cn/share/base/query/shrcnMqxwwRkV3NUIUxPeab3sec</t>
        </is>
      </c>
      <c r="F376" t="inlineStr">
        <is>
          <t>请添加微信：k846211</t>
        </is>
      </c>
      <c r="G376" t="inlineStr">
        <is>
          <t>2025-11-13</t>
        </is>
      </c>
    </row>
    <row r="377" ht="25.5" customHeight="1">
      <c r="A377" t="inlineStr">
        <is>
          <t>一本小学语文同步训练3年级上册--自主测评卷.pdf</t>
        </is>
      </c>
      <c r="B377" s="2" t="str">
        <f>=HYPERLINK("https://pan.quark.cn/s/f4d29394f981", "https://pan.quark.cn/s/f4d29394f981")</f>
        <v>https://pan.quark.cn/s/f4d29394f981</v>
      </c>
      <c r="C377" t="inlineStr">
        <is>
          <t>194.4M</t>
        </is>
      </c>
      <c r="D377" t="inlineStr">
        <is>
          <t>/小学语文/3年级上册/同步训练/自主测评卷/K12/学龄儿童家长</t>
        </is>
      </c>
      <c r="E377" t="inlineStr">
        <is>
          <t>https://dcn8qexvg13r.feishu.cn/share/base/query/shrcnMqxwwRkV3NUIUxPeab3sec</t>
        </is>
      </c>
      <c r="F377" t="inlineStr">
        <is>
          <t>请添加微信：k846211</t>
        </is>
      </c>
      <c r="G377" t="inlineStr">
        <is>
          <t>2025-11-13</t>
        </is>
      </c>
    </row>
    <row r="378" ht="25.5" customHeight="1">
      <c r="A378" t="inlineStr">
        <is>
          <t>一本小学语文同步训练4年级上册--自主测评卷.pdf</t>
        </is>
      </c>
      <c r="B378" s="2" t="str">
        <f>=HYPERLINK("https://pan.quark.cn/s/ce40e0a74ca3", "https://pan.quark.cn/s/ce40e0a74ca3")</f>
        <v>https://pan.quark.cn/s/ce40e0a74ca3</v>
      </c>
      <c r="C378" t="inlineStr">
        <is>
          <t>403.1M</t>
        </is>
      </c>
      <c r="D378" t="inlineStr">
        <is>
          <t>/小学语文/四年级上册/同步训练/自主测评/K12/学龄儿童家长</t>
        </is>
      </c>
      <c r="E378" t="inlineStr">
        <is>
          <t>https://dcn8qexvg13r.feishu.cn/share/base/query/shrcnMqxwwRkV3NUIUxPeab3sec</t>
        </is>
      </c>
      <c r="F378" t="inlineStr">
        <is>
          <t>请添加微信：k846211</t>
        </is>
      </c>
      <c r="G378" t="inlineStr">
        <is>
          <t>2025-11-13</t>
        </is>
      </c>
    </row>
    <row r="379" ht="25.5" customHeight="1">
      <c r="A379" t="inlineStr">
        <is>
          <t>一本小学语文同步训练5年级上册--自主测评卷.pdf</t>
        </is>
      </c>
      <c r="B379" s="2" t="str">
        <f>=HYPERLINK("https://pan.quark.cn/s/d0d13ed3b951", "https://pan.quark.cn/s/d0d13ed3b951")</f>
        <v>https://pan.quark.cn/s/d0d13ed3b951</v>
      </c>
      <c r="C379" t="inlineStr">
        <is>
          <t>471.8M</t>
        </is>
      </c>
      <c r="D379" t="inlineStr">
        <is>
          <t>/小学语文/5年级上册/同步训练/自主测评/学龄儿童家长/K12</t>
        </is>
      </c>
      <c r="E379" t="inlineStr">
        <is>
          <t>https://dcn8qexvg13r.feishu.cn/share/base/query/shrcnMqxwwRkV3NUIUxPeab3sec</t>
        </is>
      </c>
      <c r="F379" t="inlineStr">
        <is>
          <t>请添加微信：k846211</t>
        </is>
      </c>
      <c r="G379" t="inlineStr">
        <is>
          <t>2025-11-13</t>
        </is>
      </c>
    </row>
    <row r="380" ht="25.5" customHeight="1">
      <c r="A380" t="inlineStr">
        <is>
          <t>一本小学语文同步训练6年级上册--自主测评卷.pdf</t>
        </is>
      </c>
      <c r="B380" s="2" t="str">
        <f>=HYPERLINK("https://pan.quark.cn/s/3cab16e06ebf", "https://pan.quark.cn/s/3cab16e06ebf")</f>
        <v>https://pan.quark.cn/s/3cab16e06ebf</v>
      </c>
      <c r="C380" t="inlineStr">
        <is>
          <t>494.7M</t>
        </is>
      </c>
      <c r="D380" t="inlineStr">
        <is>
          <t>/小学语文/六年级上册/同步训练/自主测评/K12/学龄儿童家长</t>
        </is>
      </c>
      <c r="E380" t="inlineStr">
        <is>
          <t>https://dcn8qexvg13r.feishu.cn/share/base/query/shrcnMqxwwRkV3NUIUxPeab3sec</t>
        </is>
      </c>
      <c r="F380" t="inlineStr">
        <is>
          <t>请添加微信：k846211</t>
        </is>
      </c>
      <c r="G380" t="inlineStr">
        <is>
          <t>2025-11-13</t>
        </is>
      </c>
    </row>
    <row r="381" ht="25.5" customHeight="1">
      <c r="A381" t="inlineStr">
        <is>
          <t>D19 春节假期中国国内出游5.01亿人次.mp3</t>
        </is>
      </c>
      <c r="B381" s="2" t="str">
        <f>=HYPERLINK("https://pan.quark.cn/s/9c68f29c7d97", "https://pan.quark.cn/s/9c68f29c7d97")</f>
        <v>https://pan.quark.cn/s/9c68f29c7d97</v>
      </c>
      <c r="C381" t="inlineStr">
        <is>
          <t>1.7M</t>
        </is>
      </c>
      <c r="D381" t="inlineStr">
        <is>
          <t>/春节假期/国内出游/人次数据/音频/白领/管理者</t>
        </is>
      </c>
      <c r="E381" t="inlineStr">
        <is>
          <t>https://dcn8qexvg13r.feishu.cn/share/base/query/shrcnMqxwwRkV3NUIUxPeab3sec</t>
        </is>
      </c>
      <c r="F381" t="inlineStr">
        <is>
          <t>请添加微信：k846211</t>
        </is>
      </c>
      <c r="G381" t="inlineStr">
        <is>
          <t>2025-11-13</t>
        </is>
      </c>
    </row>
    <row r="382" ht="25.5" customHeight="1">
      <c r="A382" t="inlineStr">
        <is>
          <t>五年级上册语文期中专项课内阅读理解.pdf</t>
        </is>
      </c>
      <c r="B382" s="2" t="str">
        <f>=HYPERLINK("https://pan.quark.cn/s/a21d77a9d30a", "https://pan.quark.cn/s/a21d77a9d30a")</f>
        <v>https://pan.quark.cn/s/a21d77a9d30a</v>
      </c>
      <c r="C382" t="inlineStr">
        <is>
          <t>1.1M</t>
        </is>
      </c>
      <c r="D382" t="inlineStr">
        <is>
          <t>/五年级上册/语文/阅读理解/专项训练/K12/学龄儿童家长</t>
        </is>
      </c>
      <c r="E382" t="inlineStr">
        <is>
          <t>https://dcn8qexvg13r.feishu.cn/share/base/query/shrcnMqxwwRkV3NUIUxPeab3sec</t>
        </is>
      </c>
      <c r="F382" t="inlineStr">
        <is>
          <t>请添加微信：k846211</t>
        </is>
      </c>
      <c r="G382" t="inlineStr">
        <is>
          <t>2025-11-13</t>
        </is>
      </c>
    </row>
    <row r="383" ht="25.5" customHeight="1">
      <c r="A383" t="inlineStr">
        <is>
          <t>六年级上册语文期中专项课内阅读理解.pdf</t>
        </is>
      </c>
      <c r="B383" s="2" t="str">
        <f>=HYPERLINK("https://pan.quark.cn/s/3dd71f6386a6", "https://pan.quark.cn/s/3dd71f6386a6")</f>
        <v>https://pan.quark.cn/s/3dd71f6386a6</v>
      </c>
      <c r="C383" t="inlineStr">
        <is>
          <t>1.2M</t>
        </is>
      </c>
      <c r="D383" t="inlineStr">
        <is>
          <t>/六年级上册/语文/课内阅读理解/期中专项/K12/学龄儿童家长</t>
        </is>
      </c>
      <c r="E383" t="inlineStr">
        <is>
          <t>https://dcn8qexvg13r.feishu.cn/share/base/query/shrcnMqxwwRkV3NUIUxPeab3sec</t>
        </is>
      </c>
      <c r="F383" t="inlineStr">
        <is>
          <t>请添加微信：k846211</t>
        </is>
      </c>
      <c r="G383" t="inlineStr">
        <is>
          <t>2025-11-13</t>
        </is>
      </c>
    </row>
    <row r="384" ht="25.5" customHeight="1">
      <c r="A384" t="inlineStr">
        <is>
          <t>四年级上册语文期中专项课内阅读理解.pdf</t>
        </is>
      </c>
      <c r="B384" s="2" t="str">
        <f>=HYPERLINK("https://pan.quark.cn/s/ed98958b267d", "https://pan.quark.cn/s/ed98958b267d")</f>
        <v>https://pan.quark.cn/s/ed98958b267d</v>
      </c>
      <c r="C384" t="inlineStr">
        <is>
          <t>1.1M</t>
        </is>
      </c>
      <c r="D384" t="inlineStr">
        <is>
          <t>/四年级语文/课内阅读理解/期中专项/专项练习/K12/学龄儿童家长</t>
        </is>
      </c>
      <c r="E384" t="inlineStr">
        <is>
          <t>https://dcn8qexvg13r.feishu.cn/share/base/query/shrcnMqxwwRkV3NUIUxPeab3sec</t>
        </is>
      </c>
      <c r="F384" t="inlineStr">
        <is>
          <t>请添加微信：k846211</t>
        </is>
      </c>
      <c r="G384" t="inlineStr">
        <is>
          <t>2025-11-13</t>
        </is>
      </c>
    </row>
    <row r="385" ht="25.5" customHeight="1">
      <c r="A385" t="inlineStr">
        <is>
          <t>三年级上册语文期中专项课内阅读理解.pdf</t>
        </is>
      </c>
      <c r="B385" s="2" t="str">
        <f>=HYPERLINK("https://pan.quark.cn/s/c69459e25a22", "https://pan.quark.cn/s/c69459e25a22")</f>
        <v>https://pan.quark.cn/s/c69459e25a22</v>
      </c>
      <c r="C385" t="inlineStr">
        <is>
          <t>1007.1K</t>
        </is>
      </c>
      <c r="D385" t="inlineStr">
        <is>
          <t>/三年级语文/课内阅读/阅读理解/期中专项/K12/学龄儿童家长</t>
        </is>
      </c>
      <c r="E385" t="inlineStr">
        <is>
          <t>https://dcn8qexvg13r.feishu.cn/share/base/query/shrcnMqxwwRkV3NUIUxPeab3sec</t>
        </is>
      </c>
      <c r="F385" t="inlineStr">
        <is>
          <t>请添加微信：k846211</t>
        </is>
      </c>
      <c r="G385" t="inlineStr">
        <is>
          <t>2025-11-13</t>
        </is>
      </c>
    </row>
    <row r="386" ht="25.5" customHeight="1">
      <c r="A386" t="inlineStr">
        <is>
          <t>二年级上册语文期中专项课内阅读理解.pdf</t>
        </is>
      </c>
      <c r="B386" s="2" t="str">
        <f>=HYPERLINK("https://pan.quark.cn/s/6a61bf54065e", "https://pan.quark.cn/s/6a61bf54065e")</f>
        <v>https://pan.quark.cn/s/6a61bf54065e</v>
      </c>
      <c r="C386" t="inlineStr">
        <is>
          <t>1.1M</t>
        </is>
      </c>
      <c r="D386" t="inlineStr">
        <is>
          <t>/二年级上册/语文/课内阅读/阅读理解/专项练习/K12/学龄儿童家长</t>
        </is>
      </c>
      <c r="E386" t="inlineStr">
        <is>
          <t>https://dcn8qexvg13r.feishu.cn/share/base/query/shrcnMqxwwRkV3NUIUxPeab3sec</t>
        </is>
      </c>
      <c r="F386" t="inlineStr">
        <is>
          <t>请添加微信：k846211</t>
        </is>
      </c>
      <c r="G386" t="inlineStr">
        <is>
          <t>2025-11-13</t>
        </is>
      </c>
    </row>
    <row r="387" ht="25.5" customHeight="1">
      <c r="A387" t="inlineStr">
        <is>
          <t>期中《语文园地专项练习》（3年级上）.pdf</t>
        </is>
      </c>
      <c r="B387" s="2" t="str">
        <f>=HYPERLINK("https://pan.quark.cn/s/43f9dcdad628", "https://pan.quark.cn/s/43f9dcdad628")</f>
        <v>https://pan.quark.cn/s/43f9dcdad628</v>
      </c>
      <c r="C387" t="inlineStr">
        <is>
          <t>54M</t>
        </is>
      </c>
      <c r="D387" t="inlineStr">
        <is>
          <t>/三年级语文/期中练习/语文园地/专项训练/K12/学龄儿童家长</t>
        </is>
      </c>
      <c r="E387" t="inlineStr">
        <is>
          <t>https://dcn8qexvg13r.feishu.cn/share/base/query/shrcnMqxwwRkV3NUIUxPeab3sec</t>
        </is>
      </c>
      <c r="F387" t="inlineStr">
        <is>
          <t>请添加微信：k846211</t>
        </is>
      </c>
      <c r="G387" t="inlineStr">
        <is>
          <t>2025-11-13</t>
        </is>
      </c>
    </row>
    <row r="388" ht="25.5" customHeight="1">
      <c r="A388" t="inlineStr">
        <is>
          <t>期中《语文园地专项练习》（6年级上）.pdf</t>
        </is>
      </c>
      <c r="B388" s="2" t="str">
        <f>=HYPERLINK("https://pan.quark.cn/s/32b8ce3c1432", "https://pan.quark.cn/s/32b8ce3c1432")</f>
        <v>https://pan.quark.cn/s/32b8ce3c1432</v>
      </c>
      <c r="C388" t="inlineStr">
        <is>
          <t>57.5M</t>
        </is>
      </c>
      <c r="D388" t="inlineStr">
        <is>
          <t>/语文园地/专项练习/六年级上册/期中/K12/学龄儿童家长</t>
        </is>
      </c>
      <c r="E388" t="inlineStr">
        <is>
          <t>https://dcn8qexvg13r.feishu.cn/share/base/query/shrcnMqxwwRkV3NUIUxPeab3sec</t>
        </is>
      </c>
      <c r="F388" t="inlineStr">
        <is>
          <t>请添加微信：k846211</t>
        </is>
      </c>
      <c r="G388" t="inlineStr">
        <is>
          <t>2025-11-13</t>
        </is>
      </c>
    </row>
    <row r="389" ht="25.5" customHeight="1">
      <c r="A389" t="inlineStr">
        <is>
          <t>期中《语文园地专项练习》（4年级上）.pdf</t>
        </is>
      </c>
      <c r="B389" s="2" t="str">
        <f>=HYPERLINK("https://pan.quark.cn/s/4d6adccfa7bb", "https://pan.quark.cn/s/4d6adccfa7bb")</f>
        <v>https://pan.quark.cn/s/4d6adccfa7bb</v>
      </c>
      <c r="C389" t="inlineStr">
        <is>
          <t>58.6M</t>
        </is>
      </c>
      <c r="D389" t="inlineStr">
        <is>
          <t>/语文园地/专项练习/四年级上册/期中复习/K12/学龄儿童家长</t>
        </is>
      </c>
      <c r="E389" t="inlineStr">
        <is>
          <t>https://dcn8qexvg13r.feishu.cn/share/base/query/shrcnMqxwwRkV3NUIUxPeab3sec</t>
        </is>
      </c>
      <c r="F389" t="inlineStr">
        <is>
          <t>请添加微信：k846211</t>
        </is>
      </c>
      <c r="G389" t="inlineStr">
        <is>
          <t>2025-11-13</t>
        </is>
      </c>
    </row>
    <row r="390" ht="25.5" customHeight="1">
      <c r="A390" t="inlineStr">
        <is>
          <t>期中《语文园地专项练习》（1年级上）.pdf</t>
        </is>
      </c>
      <c r="B390" s="2" t="str">
        <f>=HYPERLINK("https://pan.quark.cn/s/83da74480884", "https://pan.quark.cn/s/83da74480884")</f>
        <v>https://pan.quark.cn/s/83da74480884</v>
      </c>
      <c r="C390" t="inlineStr">
        <is>
          <t>32.7M</t>
        </is>
      </c>
      <c r="D390" t="inlineStr">
        <is>
          <t>/语文园地/专项练习/一年级上册/期中复习/K12/学龄儿童家长</t>
        </is>
      </c>
      <c r="E390" t="inlineStr">
        <is>
          <t>https://dcn8qexvg13r.feishu.cn/share/base/query/shrcnMqxwwRkV3NUIUxPeab3sec</t>
        </is>
      </c>
      <c r="F390" t="inlineStr">
        <is>
          <t>请添加微信：k846211</t>
        </is>
      </c>
      <c r="G390" t="inlineStr">
        <is>
          <t>2025-11-13</t>
        </is>
      </c>
    </row>
    <row r="391" ht="25.5" customHeight="1">
      <c r="A391" t="inlineStr">
        <is>
          <t>期中《语文园地专项练习》（2年级上）.pdf</t>
        </is>
      </c>
      <c r="B391" s="2" t="str">
        <f>=HYPERLINK("https://pan.quark.cn/s/3b52ead76e89", "https://pan.quark.cn/s/3b52ead76e89")</f>
        <v>https://pan.quark.cn/s/3b52ead76e89</v>
      </c>
      <c r="C391" t="inlineStr">
        <is>
          <t>30.1M</t>
        </is>
      </c>
      <c r="D391" t="inlineStr">
        <is>
          <t>/语文园地/专项练习/2年级上/期中/K12/学龄儿童家长</t>
        </is>
      </c>
      <c r="E391" t="inlineStr">
        <is>
          <t>https://dcn8qexvg13r.feishu.cn/share/base/query/shrcnMqxwwRkV3NUIUxPeab3sec</t>
        </is>
      </c>
      <c r="F391" t="inlineStr">
        <is>
          <t>请添加微信：k846211</t>
        </is>
      </c>
      <c r="G391" t="inlineStr">
        <is>
          <t>2025-11-13</t>
        </is>
      </c>
    </row>
    <row r="392" ht="25.5" customHeight="1">
      <c r="A392" t="inlineStr">
        <is>
          <t>期中《语文园地专项练习》（5年级上）.pdf</t>
        </is>
      </c>
      <c r="B392" s="2" t="str">
        <f>=HYPERLINK("https://pan.quark.cn/s/a050341f452b", "https://pan.quark.cn/s/a050341f452b")</f>
        <v>https://pan.quark.cn/s/a050341f452b</v>
      </c>
      <c r="C392" t="inlineStr">
        <is>
          <t>60.3M</t>
        </is>
      </c>
      <c r="D392" t="inlineStr">
        <is>
          <t>/语文园地/专项练习/五年级上册/期中练习/K12/学龄儿童家长</t>
        </is>
      </c>
      <c r="E392" t="inlineStr">
        <is>
          <t>https://dcn8qexvg13r.feishu.cn/share/base/query/shrcnMqxwwRkV3NUIUxPeab3sec</t>
        </is>
      </c>
      <c r="F392" t="inlineStr">
        <is>
          <t>请添加微信：k846211</t>
        </is>
      </c>
      <c r="G392" t="inlineStr">
        <is>
          <t>2025-11-13</t>
        </is>
      </c>
    </row>
    <row r="393" ht="25.5" customHeight="1">
      <c r="A393" t="inlineStr">
        <is>
          <t>三年级（上）期中英语知识考点汇总《人教PEP版》.pdf</t>
        </is>
      </c>
      <c r="B393" s="2" t="str">
        <f>=HYPERLINK("https://pan.quark.cn/s/d8b9529097c9", "https://pan.quark.cn/s/d8b9529097c9")</f>
        <v>https://pan.quark.cn/s/d8b9529097c9</v>
      </c>
      <c r="C393" t="inlineStr">
        <is>
          <t>4.3M</t>
        </is>
      </c>
      <c r="D393" t="inlineStr">
        <is>
          <t>/三年级英语/期中考点/人教PEP版/K12/学龄儿童家长</t>
        </is>
      </c>
      <c r="E393" t="inlineStr">
        <is>
          <t>https://dcn8qexvg13r.feishu.cn/share/base/query/shrcnMqxwwRkV3NUIUxPeab3sec</t>
        </is>
      </c>
      <c r="F393" t="inlineStr">
        <is>
          <t>请添加微信：k846211</t>
        </is>
      </c>
      <c r="G393" t="inlineStr">
        <is>
          <t>2025-11-13</t>
        </is>
      </c>
    </row>
    <row r="394" ht="25.5" customHeight="1">
      <c r="A394" t="inlineStr">
        <is>
          <t>新二上数学期中知识归类人教版.pdf</t>
        </is>
      </c>
      <c r="B394" s="2" t="str">
        <f>=HYPERLINK("https://pan.quark.cn/s/acb5816c7bc4", "https://pan.quark.cn/s/acb5816c7bc4")</f>
        <v>https://pan.quark.cn/s/acb5816c7bc4</v>
      </c>
      <c r="C394" t="inlineStr">
        <is>
          <t>731.6K</t>
        </is>
      </c>
      <c r="D394" t="inlineStr">
        <is>
          <t>/二年级上册数学/期中知识归类/人教版/数学学习/K12/学龄儿童家长</t>
        </is>
      </c>
      <c r="E394" t="inlineStr">
        <is>
          <t>https://dcn8qexvg13r.feishu.cn/share/base/query/shrcnMqxwwRkV3NUIUxPeab3sec</t>
        </is>
      </c>
      <c r="F394" t="inlineStr">
        <is>
          <t>请添加微信：k846211</t>
        </is>
      </c>
      <c r="G394" t="inlineStr">
        <is>
          <t>2025-11-13</t>
        </is>
      </c>
    </row>
    <row r="395" ht="25.5" customHeight="1">
      <c r="A395" t="inlineStr">
        <is>
          <t>新一上数学期中知识归类人教版.pdf</t>
        </is>
      </c>
      <c r="B395" s="2" t="str">
        <f>=HYPERLINK("https://pan.quark.cn/s/633388a1b7d4", "https://pan.quark.cn/s/633388a1b7d4")</f>
        <v>https://pan.quark.cn/s/633388a1b7d4</v>
      </c>
      <c r="C395" t="inlineStr">
        <is>
          <t>4.3M</t>
        </is>
      </c>
      <c r="D395" t="inlineStr">
        <is>
          <t>/数学/期中/知识归类/人教版/小学一年级/K12</t>
        </is>
      </c>
      <c r="E395" t="inlineStr">
        <is>
          <t>https://dcn8qexvg13r.feishu.cn/share/base/query/shrcnMqxwwRkV3NUIUxPeab3sec</t>
        </is>
      </c>
      <c r="F395" t="inlineStr">
        <is>
          <t>请添加微信：k846211</t>
        </is>
      </c>
      <c r="G395" t="inlineStr">
        <is>
          <t>2025-11-13</t>
        </is>
      </c>
    </row>
    <row r="396" ht="25.5" customHeight="1">
      <c r="A396" t="inlineStr">
        <is>
          <t>新三上数学期中知识归类人教版.pdf</t>
        </is>
      </c>
      <c r="B396" s="2" t="str">
        <f>=HYPERLINK("https://pan.quark.cn/s/970ac6a160b5", "https://pan.quark.cn/s/970ac6a160b5")</f>
        <v>https://pan.quark.cn/s/970ac6a160b5</v>
      </c>
      <c r="C396" t="inlineStr">
        <is>
          <t>9.1M</t>
        </is>
      </c>
      <c r="D396" t="inlineStr">
        <is>
          <t>/三年级数学/期中复习/知识归类/人教版/K12/学龄儿童家长</t>
        </is>
      </c>
      <c r="E396" t="inlineStr">
        <is>
          <t>https://dcn8qexvg13r.feishu.cn/share/base/query/shrcnMqxwwRkV3NUIUxPeab3sec</t>
        </is>
      </c>
      <c r="F396" t="inlineStr">
        <is>
          <t>请添加微信：k846211</t>
        </is>
      </c>
      <c r="G396" t="inlineStr">
        <is>
          <t>2025-11-13</t>
        </is>
      </c>
    </row>
    <row r="397" ht="25.5" customHeight="1">
      <c r="A397" t="inlineStr">
        <is>
          <t>三上期中高频考点2.pdf</t>
        </is>
      </c>
      <c r="B397" s="2" t="str">
        <f>=HYPERLINK("https://pan.quark.cn/s/ba72a3514698", "https://pan.quark.cn/s/ba72a3514698")</f>
        <v>https://pan.quark.cn/s/ba72a3514698</v>
      </c>
      <c r="C397" t="inlineStr">
        <is>
          <t>11.3M</t>
        </is>
      </c>
      <c r="D397" t="inlineStr">
        <is>
          <t>/三年级/期中/高频考点/数学/语文/K12/学龄儿童家长</t>
        </is>
      </c>
      <c r="E397" t="inlineStr">
        <is>
          <t>https://dcn8qexvg13r.feishu.cn/share/base/query/shrcnMqxwwRkV3NUIUxPeab3sec</t>
        </is>
      </c>
      <c r="F397" t="inlineStr">
        <is>
          <t>请添加微信：k846211</t>
        </is>
      </c>
      <c r="G397" t="inlineStr">
        <is>
          <t>2025-11-13</t>
        </is>
      </c>
    </row>
    <row r="398" ht="25.5" customHeight="1">
      <c r="A398" t="inlineStr">
        <is>
          <t>四上期中高频考点2.pdf</t>
        </is>
      </c>
      <c r="B398" s="2" t="str">
        <f>=HYPERLINK("https://pan.quark.cn/s/e4201cbb3700", "https://pan.quark.cn/s/e4201cbb3700")</f>
        <v>https://pan.quark.cn/s/e4201cbb3700</v>
      </c>
      <c r="C398" t="inlineStr">
        <is>
          <t>376.4K</t>
        </is>
      </c>
      <c r="D398" t="inlineStr">
        <is>
          <t>/四上期中/高频考点/小学四年级/考试复习/K12/学龄儿童家长</t>
        </is>
      </c>
      <c r="E398" t="inlineStr">
        <is>
          <t>https://dcn8qexvg13r.feishu.cn/share/base/query/shrcnMqxwwRkV3NUIUxPeab3sec</t>
        </is>
      </c>
      <c r="F398" t="inlineStr">
        <is>
          <t>请添加微信：k846211</t>
        </is>
      </c>
      <c r="G398" t="inlineStr">
        <is>
          <t>2025-11-13</t>
        </is>
      </c>
    </row>
    <row r="399" ht="25.5" customHeight="1">
      <c r="A399" t="inlineStr">
        <is>
          <t>三上期中高频考点.pdf</t>
        </is>
      </c>
      <c r="B399" s="2" t="str">
        <f>=HYPERLINK("https://pan.quark.cn/s/e0e51c58846b", "https://pan.quark.cn/s/e0e51c58846b")</f>
        <v>https://pan.quark.cn/s/e0e51c58846b</v>
      </c>
      <c r="C399" t="inlineStr">
        <is>
          <t>623.5K</t>
        </is>
      </c>
      <c r="D399" t="inlineStr">
        <is>
          <t>/三上期中/高频考点/小学三年级/学期中期/K12/学龄儿童家长</t>
        </is>
      </c>
      <c r="E399" t="inlineStr">
        <is>
          <t>https://dcn8qexvg13r.feishu.cn/share/base/query/shrcnMqxwwRkV3NUIUxPeab3sec</t>
        </is>
      </c>
      <c r="F399" t="inlineStr">
        <is>
          <t>请添加微信：k846211</t>
        </is>
      </c>
      <c r="G399" t="inlineStr">
        <is>
          <t>2025-11-13</t>
        </is>
      </c>
    </row>
    <row r="400" ht="25.5" customHeight="1">
      <c r="A400" t="inlineStr">
        <is>
          <t>一上期中重点必考易错题.pdf</t>
        </is>
      </c>
      <c r="B400" s="2" t="str">
        <f>=HYPERLINK("https://pan.quark.cn/s/3dbe666cdbb0", "https://pan.quark.cn/s/3dbe666cdbb0")</f>
        <v>https://pan.quark.cn/s/3dbe666cdbb0</v>
      </c>
      <c r="C400" t="inlineStr">
        <is>
          <t>557.9K</t>
        </is>
      </c>
      <c r="D400" t="inlineStr">
        <is>
          <t>/一年级上册/期中考试/重点必考/易错题/练习册/K12/学龄儿童家长</t>
        </is>
      </c>
      <c r="E400" t="inlineStr">
        <is>
          <t>https://dcn8qexvg13r.feishu.cn/share/base/query/shrcnMqxwwRkV3NUIUxPeab3sec</t>
        </is>
      </c>
      <c r="F400" t="inlineStr">
        <is>
          <t>请添加微信：k846211</t>
        </is>
      </c>
      <c r="G400" t="inlineStr">
        <is>
          <t>2025-11-13</t>
        </is>
      </c>
    </row>
    <row r="401" ht="25.5" customHeight="1">
      <c r="A401" t="inlineStr">
        <is>
          <t>一上期中复习小卡片.pdf</t>
        </is>
      </c>
      <c r="B401" s="2" t="str">
        <f>=HYPERLINK("https://pan.quark.cn/s/c36c00b0f50d", "https://pan.quark.cn/s/c36c00b0f50d")</f>
        <v>https://pan.quark.cn/s/c36c00b0f50d</v>
      </c>
      <c r="C401" t="inlineStr">
        <is>
          <t>2.9M</t>
        </is>
      </c>
      <c r="D401" t="inlineStr">
        <is>
          <t>/一年级/期中复习/小卡片/K12/学龄儿童家长</t>
        </is>
      </c>
      <c r="E401" t="inlineStr">
        <is>
          <t>https://dcn8qexvg13r.feishu.cn/share/base/query/shrcnMqxwwRkV3NUIUxPeab3sec</t>
        </is>
      </c>
      <c r="F401" t="inlineStr">
        <is>
          <t>请添加微信：k846211</t>
        </is>
      </c>
      <c r="G401" t="inlineStr">
        <is>
          <t>2025-11-13</t>
        </is>
      </c>
    </row>
    <row r="402" ht="25.5" customHeight="1">
      <c r="A402" t="inlineStr">
        <is>
          <t>六上期中高频考点.pdf</t>
        </is>
      </c>
      <c r="B402" s="2" t="str">
        <f>=HYPERLINK("https://pan.quark.cn/s/2e86025d2c66", "https://pan.quark.cn/s/2e86025d2c66")</f>
        <v>https://pan.quark.cn/s/2e86025d2c66</v>
      </c>
      <c r="C402" t="inlineStr">
        <is>
          <t>627.5K</t>
        </is>
      </c>
      <c r="D402" t="inlineStr">
        <is>
          <t>/六年级/期中/高频考点/PDF/K12/学龄儿童家长</t>
        </is>
      </c>
      <c r="E402" t="inlineStr">
        <is>
          <t>https://dcn8qexvg13r.feishu.cn/share/base/query/shrcnMqxwwRkV3NUIUxPeab3sec</t>
        </is>
      </c>
      <c r="F402" t="inlineStr">
        <is>
          <t>请添加微信：k846211</t>
        </is>
      </c>
      <c r="G402" t="inlineStr">
        <is>
          <t>2025-11-13</t>
        </is>
      </c>
    </row>
    <row r="403" ht="25.5" customHeight="1">
      <c r="A403" t="inlineStr">
        <is>
          <t>三上期中考点记读.pdf</t>
        </is>
      </c>
      <c r="B403" s="2" t="str">
        <f>=HYPERLINK("https://pan.quark.cn/s/dbd4e9785b58", "https://pan.quark.cn/s/dbd4e9785b58")</f>
        <v>https://pan.quark.cn/s/dbd4e9785b58</v>
      </c>
      <c r="C403" t="inlineStr">
        <is>
          <t>2.5M</t>
        </is>
      </c>
      <c r="D403" t="inlineStr">
        <is>
          <t>/期中考点/记读/小学/三上/K12/学龄儿童家长</t>
        </is>
      </c>
      <c r="E403" t="inlineStr">
        <is>
          <t>https://dcn8qexvg13r.feishu.cn/share/base/query/shrcnMqxwwRkV3NUIUxPeab3sec</t>
        </is>
      </c>
      <c r="F403" t="inlineStr">
        <is>
          <t>请添加微信：k846211</t>
        </is>
      </c>
      <c r="G403" t="inlineStr">
        <is>
          <t>2025-11-13</t>
        </is>
      </c>
    </row>
    <row r="404" ht="25.5" customHeight="1">
      <c r="A404" t="inlineStr">
        <is>
          <t>五上期中高频考点.pdf</t>
        </is>
      </c>
      <c r="B404" s="2" t="str">
        <f>=HYPERLINK("https://pan.quark.cn/s/01cc0795dcec", "https://pan.quark.cn/s/01cc0795dcec")</f>
        <v>https://pan.quark.cn/s/01cc0795dcec</v>
      </c>
      <c r="C404" t="inlineStr">
        <is>
          <t>10M</t>
        </is>
      </c>
      <c r="D404" t="inlineStr">
        <is>
          <t>/五年级/上册/期中考试/高频考点/K12/学龄儿童家长</t>
        </is>
      </c>
      <c r="E404" t="inlineStr">
        <is>
          <t>https://dcn8qexvg13r.feishu.cn/share/base/query/shrcnMqxwwRkV3NUIUxPeab3sec</t>
        </is>
      </c>
      <c r="F404" t="inlineStr">
        <is>
          <t>请添加微信：k846211</t>
        </is>
      </c>
      <c r="G404" t="inlineStr">
        <is>
          <t>2025-11-13</t>
        </is>
      </c>
    </row>
    <row r="405" ht="25.5" customHeight="1">
      <c r="A405" t="inlineStr">
        <is>
          <t>二上期中高频考点梳理.pdf</t>
        </is>
      </c>
      <c r="B405" s="2" t="str">
        <f>=HYPERLINK("https://pan.quark.cn/s/947cc620ae0d", "https://pan.quark.cn/s/947cc620ae0d")</f>
        <v>https://pan.quark.cn/s/947cc620ae0d</v>
      </c>
      <c r="C405" t="inlineStr">
        <is>
          <t>17.2M</t>
        </is>
      </c>
      <c r="D405" t="inlineStr">
        <is>
          <t>/二年级上册/期中/高频考点/梳理/K12/学龄儿童家长</t>
        </is>
      </c>
      <c r="E405" t="inlineStr">
        <is>
          <t>https://dcn8qexvg13r.feishu.cn/share/base/query/shrcnMqxwwRkV3NUIUxPeab3sec</t>
        </is>
      </c>
      <c r="F405" t="inlineStr">
        <is>
          <t>请添加微信：k846211</t>
        </is>
      </c>
      <c r="G405" t="inlineStr">
        <is>
          <t>2025-11-13</t>
        </is>
      </c>
    </row>
    <row r="406" ht="25.5" customHeight="1">
      <c r="A406" t="inlineStr">
        <is>
          <t>二上期中7天备考.pdf</t>
        </is>
      </c>
      <c r="B406" s="2" t="str">
        <f>=HYPERLINK("https://pan.quark.cn/s/9e304982b610", "https://pan.quark.cn/s/9e304982b610")</f>
        <v>https://pan.quark.cn/s/9e304982b610</v>
      </c>
      <c r="C406" t="inlineStr">
        <is>
          <t>3.5M</t>
        </is>
      </c>
      <c r="D406" t="inlineStr">
        <is>
          <t>/二年级上册/期中考试/备考/7天备考/K12/学龄儿童家长</t>
        </is>
      </c>
      <c r="E406" t="inlineStr">
        <is>
          <t>https://dcn8qexvg13r.feishu.cn/share/base/query/shrcnMqxwwRkV3NUIUxPeab3sec</t>
        </is>
      </c>
      <c r="F406" t="inlineStr">
        <is>
          <t>请添加微信：k846211</t>
        </is>
      </c>
      <c r="G406" t="inlineStr">
        <is>
          <t>2025-11-13</t>
        </is>
      </c>
    </row>
    <row r="407" ht="25.5" customHeight="1">
      <c r="A407" t="inlineStr">
        <is>
          <t>四上期中必背综合练习（答案）.pdf</t>
        </is>
      </c>
      <c r="B407" s="2" t="str">
        <f>=HYPERLINK("https://pan.quark.cn/s/bec8b9bd1b9b", "https://pan.quark.cn/s/bec8b9bd1b9b")</f>
        <v>https://pan.quark.cn/s/bec8b9bd1b9b</v>
      </c>
      <c r="C407" t="inlineStr">
        <is>
          <t>295.8K</t>
        </is>
      </c>
      <c r="D407" t="inlineStr">
        <is>
          <t>/四上期中/必背/综合练习/答案/K12/学龄儿童家长</t>
        </is>
      </c>
      <c r="E407" t="inlineStr">
        <is>
          <t>https://dcn8qexvg13r.feishu.cn/share/base/query/shrcnMqxwwRkV3NUIUxPeab3sec</t>
        </is>
      </c>
      <c r="F407" t="inlineStr">
        <is>
          <t>请添加微信：k846211</t>
        </is>
      </c>
      <c r="G407" t="inlineStr">
        <is>
          <t>2025-11-13</t>
        </is>
      </c>
    </row>
    <row r="408" ht="25.5" customHeight="1">
      <c r="A408" t="inlineStr">
        <is>
          <t>四上期中高频考点.pdf</t>
        </is>
      </c>
      <c r="B408" s="2" t="str">
        <f>=HYPERLINK("https://pan.quark.cn/s/aab8ea86ed3e", "https://pan.quark.cn/s/aab8ea86ed3e")</f>
        <v>https://pan.quark.cn/s/aab8ea86ed3e</v>
      </c>
      <c r="C408" t="inlineStr">
        <is>
          <t>3.8M</t>
        </is>
      </c>
      <c r="D408" t="inlineStr">
        <is>
          <t>/四上期中/高频考点/小学/学习资料/K12/学龄儿童家长</t>
        </is>
      </c>
      <c r="E408" t="inlineStr">
        <is>
          <t>https://dcn8qexvg13r.feishu.cn/share/base/query/shrcnMqxwwRkV3NUIUxPeab3sec</t>
        </is>
      </c>
      <c r="F408" t="inlineStr">
        <is>
          <t>请添加微信：k846211</t>
        </is>
      </c>
      <c r="G408" t="inlineStr">
        <is>
          <t>2025-11-13</t>
        </is>
      </c>
    </row>
    <row r="409" ht="25.5" customHeight="1">
      <c r="A409" t="inlineStr">
        <is>
          <t>六上期中高频考点2.pdf</t>
        </is>
      </c>
      <c r="B409" s="2" t="str">
        <f>=HYPERLINK("https://pan.quark.cn/s/f03a2187ac2a", "https://pan.quark.cn/s/f03a2187ac2a")</f>
        <v>https://pan.quark.cn/s/f03a2187ac2a</v>
      </c>
      <c r="C409" t="inlineStr">
        <is>
          <t>1.6M</t>
        </is>
      </c>
      <c r="D409" t="inlineStr">
        <is>
          <t>/六年级上册/期中/高频考点/数学/语文/K12/学龄儿童家长</t>
        </is>
      </c>
      <c r="E409" t="inlineStr">
        <is>
          <t>https://dcn8qexvg13r.feishu.cn/share/base/query/shrcnMqxwwRkV3NUIUxPeab3sec</t>
        </is>
      </c>
      <c r="F409" t="inlineStr">
        <is>
          <t>请添加微信：k846211</t>
        </is>
      </c>
      <c r="G409" t="inlineStr">
        <is>
          <t>2025-11-13</t>
        </is>
      </c>
    </row>
    <row r="410" ht="25.5" customHeight="1">
      <c r="A410" t="inlineStr">
        <is>
          <t>二上期中高频考点练习.pdf</t>
        </is>
      </c>
      <c r="B410" s="2" t="str">
        <f>=HYPERLINK("https://pan.quark.cn/s/ea99e786dea2", "https://pan.quark.cn/s/ea99e786dea2")</f>
        <v>https://pan.quark.cn/s/ea99e786dea2</v>
      </c>
      <c r="C410" t="inlineStr">
        <is>
          <t>754.4K</t>
        </is>
      </c>
      <c r="D410" t="inlineStr">
        <is>
          <t>/二年级/期中/高频考点/练习/K12/学龄儿童家长</t>
        </is>
      </c>
      <c r="E410" t="inlineStr">
        <is>
          <t>https://dcn8qexvg13r.feishu.cn/share/base/query/shrcnMqxwwRkV3NUIUxPeab3sec</t>
        </is>
      </c>
      <c r="F410" t="inlineStr">
        <is>
          <t>请添加微信：k846211</t>
        </is>
      </c>
      <c r="G410" t="inlineStr">
        <is>
          <t>2025-11-13</t>
        </is>
      </c>
    </row>
    <row r="411" ht="25.5" customHeight="1">
      <c r="A411" t="inlineStr">
        <is>
          <t>一上期中高频考点2.pdf</t>
        </is>
      </c>
      <c r="B411" s="2" t="str">
        <f>=HYPERLINK("https://pan.quark.cn/s/1c5540e1485c", "https://pan.quark.cn/s/1c5540e1485c")</f>
        <v>https://pan.quark.cn/s/1c5540e1485c</v>
      </c>
      <c r="C411" t="inlineStr">
        <is>
          <t>791.7K</t>
        </is>
      </c>
      <c r="D411" t="inlineStr">
        <is>
          <t>/一年级上学期/期中考试/高频考点/学习资料/K12/学龄儿童家长</t>
        </is>
      </c>
      <c r="E411" t="inlineStr">
        <is>
          <t>https://dcn8qexvg13r.feishu.cn/share/base/query/shrcnMqxwwRkV3NUIUxPeab3sec</t>
        </is>
      </c>
      <c r="F411" t="inlineStr">
        <is>
          <t>请添加微信：k846211</t>
        </is>
      </c>
      <c r="G411" t="inlineStr">
        <is>
          <t>2025-11-13</t>
        </is>
      </c>
    </row>
    <row r="412" ht="25.5" customHeight="1">
      <c r="A412" t="inlineStr">
        <is>
          <t>四上期中高频考点训练.pdf</t>
        </is>
      </c>
      <c r="B412" s="2" t="str">
        <f>=HYPERLINK("https://pan.quark.cn/s/019cffeac5e1", "https://pan.quark.cn/s/019cffeac5e1")</f>
        <v>https://pan.quark.cn/s/019cffeac5e1</v>
      </c>
      <c r="C412" t="inlineStr">
        <is>
          <t>702.4K</t>
        </is>
      </c>
      <c r="D412" t="inlineStr">
        <is>
          <t>/四上期中/高频考点/训练/K12/学龄儿童家长</t>
        </is>
      </c>
      <c r="E412" t="inlineStr">
        <is>
          <t>https://dcn8qexvg13r.feishu.cn/share/base/query/shrcnMqxwwRkV3NUIUxPeab3sec</t>
        </is>
      </c>
      <c r="F412" t="inlineStr">
        <is>
          <t>请添加微信：k846211</t>
        </is>
      </c>
      <c r="G412" t="inlineStr">
        <is>
          <t>2025-11-13</t>
        </is>
      </c>
    </row>
    <row r="413" ht="25.5" customHeight="1">
      <c r="A413" t="inlineStr">
        <is>
          <t>二上期中高频考点2 按课文内容填空.pdf</t>
        </is>
      </c>
      <c r="B413" s="2" t="str">
        <f>=HYPERLINK("https://pan.quark.cn/s/ea419201e879", "https://pan.quark.cn/s/ea419201e879")</f>
        <v>https://pan.quark.cn/s/ea419201e879</v>
      </c>
      <c r="C413" t="inlineStr">
        <is>
          <t>465.9K</t>
        </is>
      </c>
      <c r="D413" t="inlineStr">
        <is>
          <t>/二年级上册/期中考试/按课文内容填空/高频考点/K12/学龄儿童家长</t>
        </is>
      </c>
      <c r="E413" t="inlineStr">
        <is>
          <t>https://dcn8qexvg13r.feishu.cn/share/base/query/shrcnMqxwwRkV3NUIUxPeab3sec</t>
        </is>
      </c>
      <c r="F413" t="inlineStr">
        <is>
          <t>请添加微信：k846211</t>
        </is>
      </c>
      <c r="G413" t="inlineStr">
        <is>
          <t>2025-11-13</t>
        </is>
      </c>
    </row>
    <row r="414" ht="25.5" customHeight="1">
      <c r="A414" t="inlineStr">
        <is>
          <t>四上期中必背综合练习.pdf</t>
        </is>
      </c>
      <c r="B414" s="2" t="str">
        <f>=HYPERLINK("https://pan.quark.cn/s/a2c93eb8dc08", "https://pan.quark.cn/s/a2c93eb8dc08")</f>
        <v>https://pan.quark.cn/s/a2c93eb8dc08</v>
      </c>
      <c r="C414" t="inlineStr">
        <is>
          <t>295.7K</t>
        </is>
      </c>
      <c r="D414" t="inlineStr">
        <is>
          <t>/四上/期中/必背/练习/K12/学龄儿童家长</t>
        </is>
      </c>
      <c r="E414" t="inlineStr">
        <is>
          <t>https://dcn8qexvg13r.feishu.cn/share/base/query/shrcnMqxwwRkV3NUIUxPeab3sec</t>
        </is>
      </c>
      <c r="F414" t="inlineStr">
        <is>
          <t>请添加微信：k846211</t>
        </is>
      </c>
      <c r="G414" t="inlineStr">
        <is>
          <t>2025-11-13</t>
        </is>
      </c>
    </row>
    <row r="415" ht="25.5" customHeight="1">
      <c r="A415" t="inlineStr">
        <is>
          <t>五上期中高频考点2.pdf</t>
        </is>
      </c>
      <c r="B415" s="2" t="str">
        <f>=HYPERLINK("https://pan.quark.cn/s/3ae4c91c82e4", "https://pan.quark.cn/s/3ae4c91c82e4")</f>
        <v>https://pan.quark.cn/s/3ae4c91c82e4</v>
      </c>
      <c r="C415" t="inlineStr">
        <is>
          <t>342.2K</t>
        </is>
      </c>
      <c r="D415" t="inlineStr">
        <is>
          <t>/五年级上册/期中/高频考点/练习/K12/学龄儿童家长</t>
        </is>
      </c>
      <c r="E415" t="inlineStr">
        <is>
          <t>https://dcn8qexvg13r.feishu.cn/share/base/query/shrcnMqxwwRkV3NUIUxPeab3sec</t>
        </is>
      </c>
      <c r="F415" t="inlineStr">
        <is>
          <t>请添加微信：k846211</t>
        </is>
      </c>
      <c r="G415" t="inlineStr">
        <is>
          <t>2025-11-13</t>
        </is>
      </c>
    </row>
    <row r="416" ht="25.5" customHeight="1">
      <c r="A416" t="inlineStr">
        <is>
          <t>二上期中高频考点.pdf</t>
        </is>
      </c>
      <c r="B416" s="2" t="str">
        <f>=HYPERLINK("https://pan.quark.cn/s/633ebda32911", "https://pan.quark.cn/s/633ebda32911")</f>
        <v>https://pan.quark.cn/s/633ebda32911</v>
      </c>
      <c r="C416" t="inlineStr">
        <is>
          <t>413.3K</t>
        </is>
      </c>
      <c r="D416" t="inlineStr">
        <is>
          <t>/二年级/期中/高频考点/学习资料/K12/学龄儿童家长</t>
        </is>
      </c>
      <c r="E416" t="inlineStr">
        <is>
          <t>https://dcn8qexvg13r.feishu.cn/share/base/query/shrcnMqxwwRkV3NUIUxPeab3sec</t>
        </is>
      </c>
      <c r="F416" t="inlineStr">
        <is>
          <t>请添加微信：k846211</t>
        </is>
      </c>
      <c r="G416" t="inlineStr">
        <is>
          <t>2025-11-13</t>
        </is>
      </c>
    </row>
    <row r="417" ht="25.5" customHeight="1">
      <c r="A417" t="inlineStr">
        <is>
          <t>一上期中高频考点.pdf</t>
        </is>
      </c>
      <c r="B417" s="2" t="str">
        <f>=HYPERLINK("https://pan.quark.cn/s/e2a2334bb87e", "https://pan.quark.cn/s/e2a2334bb87e")</f>
        <v>https://pan.quark.cn/s/e2a2334bb87e</v>
      </c>
      <c r="C417" t="inlineStr">
        <is>
          <t>4.4M</t>
        </is>
      </c>
      <c r="D417" t="inlineStr">
        <is>
          <t>/一年级上册/期中考试/高频考点/学习资料/K12/学龄儿童家长</t>
        </is>
      </c>
      <c r="E417" t="inlineStr">
        <is>
          <t>https://dcn8qexvg13r.feishu.cn/share/base/query/shrcnMqxwwRkV3NUIUxPeab3sec</t>
        </is>
      </c>
      <c r="F417" t="inlineStr">
        <is>
          <t>请添加微信：k846211</t>
        </is>
      </c>
      <c r="G417" t="inlineStr">
        <is>
          <t>2025-11-13</t>
        </is>
      </c>
    </row>
    <row r="418" ht="25.5" customHeight="1">
      <c r="A418" t="inlineStr">
        <is>
          <t>一上期中高频考点3.pdf</t>
        </is>
      </c>
      <c r="B418" s="2" t="str">
        <f>=HYPERLINK("https://pan.quark.cn/s/d4522b4d8644", "https://pan.quark.cn/s/d4522b4d8644")</f>
        <v>https://pan.quark.cn/s/d4522b4d8644</v>
      </c>
      <c r="C418" t="inlineStr">
        <is>
          <t>269.9K</t>
        </is>
      </c>
      <c r="D418" t="inlineStr">
        <is>
          <t>/一年级上册/期中考试/高频考点/试题/考点/学龄儿童家长/K12</t>
        </is>
      </c>
      <c r="E418" t="inlineStr">
        <is>
          <t>https://dcn8qexvg13r.feishu.cn/share/base/query/shrcnMqxwwRkV3NUIUxPeab3sec</t>
        </is>
      </c>
      <c r="F418" t="inlineStr">
        <is>
          <t>请添加微信：k846211</t>
        </is>
      </c>
      <c r="G418" t="inlineStr">
        <is>
          <t>2025-11-13</t>
        </is>
      </c>
    </row>
    <row r="419" ht="25.5" customHeight="1">
      <c r="A419" t="inlineStr">
        <is>
          <t>五上语文期中要点背记卡拔高习题.pdf</t>
        </is>
      </c>
      <c r="B419" s="2" t="str">
        <f>=HYPERLINK("https://pan.quark.cn/s/0e78071a5cf4", "https://pan.quark.cn/s/0e78071a5cf4")</f>
        <v>https://pan.quark.cn/s/0e78071a5cf4</v>
      </c>
      <c r="C419" t="inlineStr">
        <is>
          <t>34.5M</t>
        </is>
      </c>
      <c r="D419" t="inlineStr">
        <is>
          <t>/语文/五年级上册/期中/背记卡/拔高习题/K12/学龄儿童家长</t>
        </is>
      </c>
      <c r="E419" t="inlineStr">
        <is>
          <t>https://dcn8qexvg13r.feishu.cn/share/base/query/shrcnMqxwwRkV3NUIUxPeab3sec</t>
        </is>
      </c>
      <c r="F419" t="inlineStr">
        <is>
          <t>请添加微信：k846211</t>
        </is>
      </c>
      <c r="G419" t="inlineStr">
        <is>
          <t>2025-11-13</t>
        </is>
      </c>
    </row>
    <row r="420" ht="25.5" customHeight="1">
      <c r="A420" t="inlineStr">
        <is>
          <t>六上语文期中要点背记卡拔高习题.pdf</t>
        </is>
      </c>
      <c r="B420" s="2" t="str">
        <f>=HYPERLINK("https://pan.quark.cn/s/cfdb64e8c565", "https://pan.quark.cn/s/cfdb64e8c565")</f>
        <v>https://pan.quark.cn/s/cfdb64e8c565</v>
      </c>
      <c r="C420" t="inlineStr">
        <is>
          <t>18.3M</t>
        </is>
      </c>
      <c r="D420" t="inlineStr">
        <is>
          <t>/六年级语文/期中复习/背记要点/拔高习题/K12/学龄儿童家长</t>
        </is>
      </c>
      <c r="E420" t="inlineStr">
        <is>
          <t>https://dcn8qexvg13r.feishu.cn/share/base/query/shrcnMqxwwRkV3NUIUxPeab3sec</t>
        </is>
      </c>
      <c r="F420" t="inlineStr">
        <is>
          <t>请添加微信：k846211</t>
        </is>
      </c>
      <c r="G420" t="inlineStr">
        <is>
          <t>2025-11-13</t>
        </is>
      </c>
    </row>
    <row r="421" ht="25.5" customHeight="1">
      <c r="A421" t="inlineStr">
        <is>
          <t>二上语文期中要点背记卡拔高习题.pdf</t>
        </is>
      </c>
      <c r="B421" s="2" t="str">
        <f>=HYPERLINK("https://pan.quark.cn/s/348c6aa5cec3", "https://pan.quark.cn/s/348c6aa5cec3")</f>
        <v>https://pan.quark.cn/s/348c6aa5cec3</v>
      </c>
      <c r="C421" t="inlineStr">
        <is>
          <t>30M</t>
        </is>
      </c>
      <c r="D421" t="inlineStr">
        <is>
          <t>/二上语文/期中要点/背记卡/拔高习题/K12/学龄儿童家长</t>
        </is>
      </c>
      <c r="E421" t="inlineStr">
        <is>
          <t>https://dcn8qexvg13r.feishu.cn/share/base/query/shrcnMqxwwRkV3NUIUxPeab3sec</t>
        </is>
      </c>
      <c r="F421" t="inlineStr">
        <is>
          <t>请添加微信：k846211</t>
        </is>
      </c>
      <c r="G421" t="inlineStr">
        <is>
          <t>2025-11-13</t>
        </is>
      </c>
    </row>
    <row r="422" ht="25.5" customHeight="1">
      <c r="A422" t="inlineStr">
        <is>
          <t>四上语文期中要点背记卡拔高习题.pdf</t>
        </is>
      </c>
      <c r="B422" s="2" t="str">
        <f>=HYPERLINK("https://pan.quark.cn/s/3ff0915c3249", "https://pan.quark.cn/s/3ff0915c3249")</f>
        <v>https://pan.quark.cn/s/3ff0915c3249</v>
      </c>
      <c r="C422" t="inlineStr">
        <is>
          <t>34M</t>
        </is>
      </c>
      <c r="D422" t="inlineStr">
        <is>
          <t>/四上语文/期中要点/背记卡/拔高习题/K12/学龄儿童家长</t>
        </is>
      </c>
      <c r="E422" t="inlineStr">
        <is>
          <t>https://dcn8qexvg13r.feishu.cn/share/base/query/shrcnMqxwwRkV3NUIUxPeab3sec</t>
        </is>
      </c>
      <c r="F422" t="inlineStr">
        <is>
          <t>请添加微信：k846211</t>
        </is>
      </c>
      <c r="G422" t="inlineStr">
        <is>
          <t>2025-11-13</t>
        </is>
      </c>
    </row>
    <row r="423" ht="25.5" customHeight="1">
      <c r="A423" t="inlineStr">
        <is>
          <t>一上语文期中要点背记卡拔高习题.pdf</t>
        </is>
      </c>
      <c r="B423" s="2" t="str">
        <f>=HYPERLINK("https://pan.quark.cn/s/843b8b71ac32", "https://pan.quark.cn/s/843b8b71ac32")</f>
        <v>https://pan.quark.cn/s/843b8b71ac32</v>
      </c>
      <c r="C423" t="inlineStr">
        <is>
          <t>25.6M</t>
        </is>
      </c>
      <c r="D423" t="inlineStr">
        <is>
          <t>/一上语文/期中要点/背记卡/拔高习题/K12/学龄儿童家长</t>
        </is>
      </c>
      <c r="E423" t="inlineStr">
        <is>
          <t>https://dcn8qexvg13r.feishu.cn/share/base/query/shrcnMqxwwRkV3NUIUxPeab3sec</t>
        </is>
      </c>
      <c r="F423" t="inlineStr">
        <is>
          <t>请添加微信：k846211</t>
        </is>
      </c>
      <c r="G423" t="inlineStr">
        <is>
          <t>2025-11-13</t>
        </is>
      </c>
    </row>
    <row r="424" ht="25.5" customHeight="1">
      <c r="A424" t="inlineStr">
        <is>
          <t>三上语文期中要点背记卡拔高习题.pdf</t>
        </is>
      </c>
      <c r="B424" s="2" t="str">
        <f>=HYPERLINK("https://pan.quark.cn/s/75131ac3f9ad", "https://pan.quark.cn/s/75131ac3f9ad")</f>
        <v>https://pan.quark.cn/s/75131ac3f9ad</v>
      </c>
      <c r="C424" t="inlineStr">
        <is>
          <t>31.4M</t>
        </is>
      </c>
      <c r="D424" t="inlineStr">
        <is>
          <t>/三年级语文/期中要点/背记卡/拔高习题/K12/学龄儿童家长</t>
        </is>
      </c>
      <c r="E424" t="inlineStr">
        <is>
          <t>https://dcn8qexvg13r.feishu.cn/share/base/query/shrcnMqxwwRkV3NUIUxPeab3sec</t>
        </is>
      </c>
      <c r="F424" t="inlineStr">
        <is>
          <t>请添加微信：k846211</t>
        </is>
      </c>
      <c r="G424" t="inlineStr">
        <is>
          <t>2025-11-13</t>
        </is>
      </c>
    </row>
    <row r="425" ht="25.5" customHeight="1">
      <c r="A425" t="inlineStr">
        <is>
          <t>《期中知识点复习小卡片》（6上）.pdf</t>
        </is>
      </c>
      <c r="B425" s="2" t="str">
        <f>=HYPERLINK("https://pan.quark.cn/s/ad3973483b03", "https://pan.quark.cn/s/ad3973483b03")</f>
        <v>https://pan.quark.cn/s/ad3973483b03</v>
      </c>
      <c r="C425" t="inlineStr">
        <is>
          <t>865.3K</t>
        </is>
      </c>
      <c r="D425" t="inlineStr">
        <is>
          <t>/期中复习/知识点/小卡片/6年级上册/K12/学龄儿童家长</t>
        </is>
      </c>
      <c r="E425" t="inlineStr">
        <is>
          <t>https://dcn8qexvg13r.feishu.cn/share/base/query/shrcnMqxwwRkV3NUIUxPeab3sec</t>
        </is>
      </c>
      <c r="F425" t="inlineStr">
        <is>
          <t>请添加微信：k846211</t>
        </is>
      </c>
      <c r="G425" t="inlineStr">
        <is>
          <t>2025-11-13</t>
        </is>
      </c>
    </row>
    <row r="426" ht="25.5" customHeight="1">
      <c r="A426" t="inlineStr">
        <is>
          <t>《期中知识点复习小卡片》（3上）.pdf</t>
        </is>
      </c>
      <c r="B426" s="2" t="str">
        <f>=HYPERLINK("https://pan.quark.cn/s/0038565d3eb0", "https://pan.quark.cn/s/0038565d3eb0")</f>
        <v>https://pan.quark.cn/s/0038565d3eb0</v>
      </c>
      <c r="C426" t="inlineStr">
        <is>
          <t>995K</t>
        </is>
      </c>
      <c r="D426" t="inlineStr">
        <is>
          <t>/期中复习/知识点/小卡片/小学三年级/K12/学龄儿童家长</t>
        </is>
      </c>
      <c r="E426" t="inlineStr">
        <is>
          <t>https://dcn8qexvg13r.feishu.cn/share/base/query/shrcnMqxwwRkV3NUIUxPeab3sec</t>
        </is>
      </c>
      <c r="F426" t="inlineStr">
        <is>
          <t>请添加微信：k846211</t>
        </is>
      </c>
      <c r="G426" t="inlineStr">
        <is>
          <t>2025-11-13</t>
        </is>
      </c>
    </row>
    <row r="427" ht="25.5" customHeight="1">
      <c r="A427" t="inlineStr">
        <is>
          <t>《期中知识点复习小卡片》（2上）.pdf</t>
        </is>
      </c>
      <c r="B427" s="2" t="str">
        <f>=HYPERLINK("https://pan.quark.cn/s/59256c8c658f", "https://pan.quark.cn/s/59256c8c658f")</f>
        <v>https://pan.quark.cn/s/59256c8c658f</v>
      </c>
      <c r="C427" t="inlineStr">
        <is>
          <t>886K</t>
        </is>
      </c>
      <c r="D427" t="inlineStr">
        <is>
          <t>/期中复习/知识点/小卡片/小学二年级/K12/学龄儿童家长</t>
        </is>
      </c>
      <c r="E427" t="inlineStr">
        <is>
          <t>https://dcn8qexvg13r.feishu.cn/share/base/query/shrcnMqxwwRkV3NUIUxPeab3sec</t>
        </is>
      </c>
      <c r="F427" t="inlineStr">
        <is>
          <t>请添加微信：k846211</t>
        </is>
      </c>
      <c r="G427" t="inlineStr">
        <is>
          <t>2025-11-13</t>
        </is>
      </c>
    </row>
    <row r="428" ht="25.5" customHeight="1">
      <c r="A428" t="inlineStr">
        <is>
          <t>《期中知识点复习小卡片》（1上）.pdf</t>
        </is>
      </c>
      <c r="B428" s="2" t="str">
        <f>=HYPERLINK("https://pan.quark.cn/s/a0d2ec7c8bc4", "https://pan.quark.cn/s/a0d2ec7c8bc4")</f>
        <v>https://pan.quark.cn/s/a0d2ec7c8bc4</v>
      </c>
      <c r="C428" t="inlineStr">
        <is>
          <t>1.8M</t>
        </is>
      </c>
      <c r="D428" t="inlineStr">
        <is>
          <t>/期中知识点/复习卡片/小学一年级/知识点梳理/学龄儿童家长/K12</t>
        </is>
      </c>
      <c r="E428" t="inlineStr">
        <is>
          <t>https://dcn8qexvg13r.feishu.cn/share/base/query/shrcnMqxwwRkV3NUIUxPeab3sec</t>
        </is>
      </c>
      <c r="F428" t="inlineStr">
        <is>
          <t>请添加微信：k846211</t>
        </is>
      </c>
      <c r="G428" t="inlineStr">
        <is>
          <t>2025-11-13</t>
        </is>
      </c>
    </row>
    <row r="429" ht="25.5" customHeight="1">
      <c r="A429" t="inlineStr">
        <is>
          <t>《期中知识点复习小卡片》（4上）.pdf</t>
        </is>
      </c>
      <c r="B429" s="2" t="str">
        <f>=HYPERLINK("https://pan.quark.cn/s/97c600503ff4", "https://pan.quark.cn/s/97c600503ff4")</f>
        <v>https://pan.quark.cn/s/97c600503ff4</v>
      </c>
      <c r="C429" t="inlineStr">
        <is>
          <t>842.6K</t>
        </is>
      </c>
      <c r="D429" t="inlineStr">
        <is>
          <t>/期中复习/知识点/小卡片/四年级/K12/学龄儿童家长</t>
        </is>
      </c>
      <c r="E429" t="inlineStr">
        <is>
          <t>https://dcn8qexvg13r.feishu.cn/share/base/query/shrcnMqxwwRkV3NUIUxPeab3sec</t>
        </is>
      </c>
      <c r="F429" t="inlineStr">
        <is>
          <t>请添加微信：k846211</t>
        </is>
      </c>
      <c r="G429" t="inlineStr">
        <is>
          <t>2025-11-13</t>
        </is>
      </c>
    </row>
    <row r="430" ht="25.5" customHeight="1">
      <c r="A430" t="inlineStr">
        <is>
          <t>《期中知识点复习小卡片》（5上）.pdf</t>
        </is>
      </c>
      <c r="B430" s="2" t="str">
        <f>=HYPERLINK("https://pan.quark.cn/s/6c63dd314360", "https://pan.quark.cn/s/6c63dd314360")</f>
        <v>https://pan.quark.cn/s/6c63dd314360</v>
      </c>
      <c r="C430" t="inlineStr">
        <is>
          <t>839.7K</t>
        </is>
      </c>
      <c r="D430" t="inlineStr">
        <is>
          <t>/期中复习/知识点/小卡片/五年级上册/K12/学龄儿童家长</t>
        </is>
      </c>
      <c r="E430" t="inlineStr">
        <is>
          <t>https://dcn8qexvg13r.feishu.cn/share/base/query/shrcnMqxwwRkV3NUIUxPeab3sec</t>
        </is>
      </c>
      <c r="F430" t="inlineStr">
        <is>
          <t>请添加微信：k846211</t>
        </is>
      </c>
      <c r="G430" t="inlineStr">
        <is>
          <t>2025-11-13</t>
        </is>
      </c>
    </row>
    <row r="431" ht="25.5" customHeight="1">
      <c r="A431" t="inlineStr">
        <is>
          <t>四年级上册语文期中基础知识专项复习-副本.pdf</t>
        </is>
      </c>
      <c r="B431" s="2" t="str">
        <f>=HYPERLINK("https://pan.quark.cn/s/3e9f9107cb4d", "https://pan.quark.cn/s/3e9f9107cb4d")</f>
        <v>https://pan.quark.cn/s/3e9f9107cb4d</v>
      </c>
      <c r="C431" t="inlineStr">
        <is>
          <t>21.2M</t>
        </is>
      </c>
      <c r="D431" t="inlineStr">
        <is>
          <t>/四年级语文/期中复习/基础知识/专项训练/K12/学龄儿童家长</t>
        </is>
      </c>
      <c r="E431" t="inlineStr">
        <is>
          <t>https://dcn8qexvg13r.feishu.cn/share/base/query/shrcnMqxwwRkV3NUIUxPeab3sec</t>
        </is>
      </c>
      <c r="F431" t="inlineStr">
        <is>
          <t>请添加微信：k846211</t>
        </is>
      </c>
      <c r="G431" t="inlineStr">
        <is>
          <t>2025-11-13</t>
        </is>
      </c>
    </row>
    <row r="432" ht="25.5" customHeight="1">
      <c r="A432" t="inlineStr">
        <is>
          <t>五年级上册语文期中基础知识专项复习-副本.pdf</t>
        </is>
      </c>
      <c r="B432" s="2" t="str">
        <f>=HYPERLINK("https://pan.quark.cn/s/50d4830ee4b7", "https://pan.quark.cn/s/50d4830ee4b7")</f>
        <v>https://pan.quark.cn/s/50d4830ee4b7</v>
      </c>
      <c r="C432" t="inlineStr">
        <is>
          <t>24.9M</t>
        </is>
      </c>
      <c r="D432" t="inlineStr">
        <is>
          <t>/五年级语文/期中复习/基础知识/专项训练/K12/学龄儿童家长</t>
        </is>
      </c>
      <c r="E432" t="inlineStr">
        <is>
          <t>https://dcn8qexvg13r.feishu.cn/share/base/query/shrcnMqxwwRkV3NUIUxPeab3sec</t>
        </is>
      </c>
      <c r="F432" t="inlineStr">
        <is>
          <t>请添加微信：k846211</t>
        </is>
      </c>
      <c r="G432" t="inlineStr">
        <is>
          <t>2025-11-13</t>
        </is>
      </c>
    </row>
    <row r="433" ht="25.5" customHeight="1">
      <c r="A433" t="inlineStr">
        <is>
          <t>三年级上册语文期中基础知识专项复习-副本.pdf</t>
        </is>
      </c>
      <c r="B433" s="2" t="str">
        <f>=HYPERLINK("https://pan.quark.cn/s/83b0b03dd49a", "https://pan.quark.cn/s/83b0b03dd49a")</f>
        <v>https://pan.quark.cn/s/83b0b03dd49a</v>
      </c>
      <c r="C433" t="inlineStr">
        <is>
          <t>18.8M</t>
        </is>
      </c>
      <c r="D433" t="inlineStr">
        <is>
          <t>/三年级语文/期中复习/基础知识/专项练习/K12/学龄儿童家长</t>
        </is>
      </c>
      <c r="E433" t="inlineStr">
        <is>
          <t>https://dcn8qexvg13r.feishu.cn/share/base/query/shrcnMqxwwRkV3NUIUxPeab3sec</t>
        </is>
      </c>
      <c r="F433" t="inlineStr">
        <is>
          <t>请添加微信：k846211</t>
        </is>
      </c>
      <c r="G433" t="inlineStr">
        <is>
          <t>2025-11-13</t>
        </is>
      </c>
    </row>
    <row r="434" ht="25.5" customHeight="1">
      <c r="A434" t="inlineStr">
        <is>
          <t>六年级上册语文期中基础知识专项复习-副本.pdf</t>
        </is>
      </c>
      <c r="B434" s="2" t="str">
        <f>=HYPERLINK("https://pan.quark.cn/s/70ac899b576f", "https://pan.quark.cn/s/70ac899b576f")</f>
        <v>https://pan.quark.cn/s/70ac899b576f</v>
      </c>
      <c r="C434" t="inlineStr">
        <is>
          <t>23M</t>
        </is>
      </c>
      <c r="D434" t="inlineStr">
        <is>
          <t>/六年级语文/期中复习/基础知识/专项复习/K12/学龄儿童家长</t>
        </is>
      </c>
      <c r="E434" t="inlineStr">
        <is>
          <t>https://dcn8qexvg13r.feishu.cn/share/base/query/shrcnMqxwwRkV3NUIUxPeab3sec</t>
        </is>
      </c>
      <c r="F434" t="inlineStr">
        <is>
          <t>请添加微信：k846211</t>
        </is>
      </c>
      <c r="G434" t="inlineStr">
        <is>
          <t>2025-11-13</t>
        </is>
      </c>
    </row>
    <row r="435" ht="25.5" customHeight="1">
      <c r="A435" t="inlineStr">
        <is>
          <t>一年级上册语文期中基础知识专项复习-副本.pdf</t>
        </is>
      </c>
      <c r="B435" s="2" t="str">
        <f>=HYPERLINK("https://pan.quark.cn/s/c27e74237283", "https://pan.quark.cn/s/c27e74237283")</f>
        <v>https://pan.quark.cn/s/c27e74237283</v>
      </c>
      <c r="C435" t="inlineStr">
        <is>
          <t>5.9M</t>
        </is>
      </c>
      <c r="D435" t="inlineStr">
        <is>
          <t>/一年级语文/期中复习/基础知识/专项练习/K12/学龄儿童家长</t>
        </is>
      </c>
      <c r="E435" t="inlineStr">
        <is>
          <t>https://dcn8qexvg13r.feishu.cn/share/base/query/shrcnMqxwwRkV3NUIUxPeab3sec</t>
        </is>
      </c>
      <c r="F435" t="inlineStr">
        <is>
          <t>请添加微信：k846211</t>
        </is>
      </c>
      <c r="G435" t="inlineStr">
        <is>
          <t>2025-11-13</t>
        </is>
      </c>
    </row>
    <row r="436" ht="25.5" customHeight="1">
      <c r="A436" t="inlineStr">
        <is>
          <t>二年级上册语文期中基础知识专项复习-副本.pdf</t>
        </is>
      </c>
      <c r="B436" s="2" t="str">
        <f>=HYPERLINK("https://pan.quark.cn/s/5764119b5a64", "https://pan.quark.cn/s/5764119b5a64")</f>
        <v>https://pan.quark.cn/s/5764119b5a64</v>
      </c>
      <c r="C436" t="inlineStr">
        <is>
          <t>9.5M</t>
        </is>
      </c>
      <c r="D436" t="inlineStr">
        <is>
          <t>/二年级语文/期中复习/基础知识/专项练习/K12/学龄儿童家长</t>
        </is>
      </c>
      <c r="E436" t="inlineStr">
        <is>
          <t>https://dcn8qexvg13r.feishu.cn/share/base/query/shrcnMqxwwRkV3NUIUxPeab3sec</t>
        </is>
      </c>
      <c r="F436" t="inlineStr">
        <is>
          <t>请添加微信：k846211</t>
        </is>
      </c>
      <c r="G436" t="inlineStr">
        <is>
          <t>2025-11-13</t>
        </is>
      </c>
    </row>
    <row r="437" ht="25.5" customHeight="1">
      <c r="A437" t="inlineStr">
        <is>
          <t>二年级上册语文期中专项课内阅读理解.pdf</t>
        </is>
      </c>
      <c r="B437" s="2" t="str">
        <f>=HYPERLINK("https://pan.quark.cn/s/90dc3f7d8214", "https://pan.quark.cn/s/90dc3f7d8214")</f>
        <v>https://pan.quark.cn/s/90dc3f7d8214</v>
      </c>
      <c r="C437" t="inlineStr">
        <is>
          <t>1.1M</t>
        </is>
      </c>
      <c r="D437" t="inlineStr">
        <is>
          <t>/二年级语文/课内阅读理解/期中专项训练/K12/学龄儿童家长</t>
        </is>
      </c>
      <c r="E437" t="inlineStr">
        <is>
          <t>https://dcn8qexvg13r.feishu.cn/share/base/query/shrcnMqxwwRkV3NUIUxPeab3sec</t>
        </is>
      </c>
      <c r="F437" t="inlineStr">
        <is>
          <t>请添加微信：k846211</t>
        </is>
      </c>
      <c r="G437" t="inlineStr">
        <is>
          <t>2025-11-13</t>
        </is>
      </c>
    </row>
    <row r="438" ht="25.5" customHeight="1">
      <c r="A438" t="inlineStr">
        <is>
          <t>二上期中高频考点.pdf</t>
        </is>
      </c>
      <c r="B438" s="2" t="str">
        <f>=HYPERLINK("https://pan.quark.cn/s/6314a3431c98", "https://pan.quark.cn/s/6314a3431c98")</f>
        <v>https://pan.quark.cn/s/6314a3431c98</v>
      </c>
      <c r="C438" t="inlineStr">
        <is>
          <t>413.3K</t>
        </is>
      </c>
      <c r="D438" t="inlineStr">
        <is>
          <t>/二年级/期中考试/高频考点/PDF/学龄儿童家长/K12</t>
        </is>
      </c>
      <c r="E438" t="inlineStr">
        <is>
          <t>https://dcn8qexvg13r.feishu.cn/share/base/query/shrcnMqxwwRkV3NUIUxPeab3sec</t>
        </is>
      </c>
      <c r="F438" t="inlineStr">
        <is>
          <t>请添加微信：k846211</t>
        </is>
      </c>
      <c r="G438" t="inlineStr">
        <is>
          <t>2025-11-13</t>
        </is>
      </c>
    </row>
    <row r="439" ht="25.5" customHeight="1">
      <c r="A439" t="inlineStr">
        <is>
          <t>二上期中7天备考.pdf</t>
        </is>
      </c>
      <c r="B439" s="2" t="str">
        <f>=HYPERLINK("https://pan.quark.cn/s/f79897ee6fbe", "https://pan.quark.cn/s/f79897ee6fbe")</f>
        <v>https://pan.quark.cn/s/f79897ee6fbe</v>
      </c>
      <c r="C439" t="inlineStr">
        <is>
          <t>3.5M</t>
        </is>
      </c>
      <c r="D439" t="inlineStr">
        <is>
          <t>/二年级上册/期中备考/7天备考/学习资料/K12/学龄儿童家长</t>
        </is>
      </c>
      <c r="E439" t="inlineStr">
        <is>
          <t>https://dcn8qexvg13r.feishu.cn/share/base/query/shrcnMqxwwRkV3NUIUxPeab3sec</t>
        </is>
      </c>
      <c r="F439" t="inlineStr">
        <is>
          <t>请添加微信：k846211</t>
        </is>
      </c>
      <c r="G439" t="inlineStr">
        <is>
          <t>2025-11-13</t>
        </is>
      </c>
    </row>
    <row r="440" ht="25.5" customHeight="1">
      <c r="A440" t="inlineStr">
        <is>
          <t>五上期中高频考点2.pdf</t>
        </is>
      </c>
      <c r="B440" s="2" t="str">
        <f>=HYPERLINK("https://pan.quark.cn/s/18078f179cd9", "https://pan.quark.cn/s/18078f179cd9")</f>
        <v>https://pan.quark.cn/s/18078f179cd9</v>
      </c>
      <c r="C440" t="inlineStr">
        <is>
          <t>342.2K</t>
        </is>
      </c>
      <c r="D440" t="inlineStr">
        <is>
          <t>/五年级/期中/高频考点/数学/语文/K12/学龄儿童家长</t>
        </is>
      </c>
      <c r="E440" t="inlineStr">
        <is>
          <t>https://dcn8qexvg13r.feishu.cn/share/base/query/shrcnMqxwwRkV3NUIUxPeab3sec</t>
        </is>
      </c>
      <c r="F440" t="inlineStr">
        <is>
          <t>请添加微信：k846211</t>
        </is>
      </c>
      <c r="G440" t="inlineStr">
        <is>
          <t>2025-11-13</t>
        </is>
      </c>
    </row>
    <row r="441" ht="25.5" customHeight="1">
      <c r="A441" t="inlineStr">
        <is>
          <t>期中《语文园地专项练习》（3年级上）.pdf</t>
        </is>
      </c>
      <c r="B441" s="2" t="str">
        <f>=HYPERLINK("https://pan.quark.cn/s/22c4f1134256", "https://pan.quark.cn/s/22c4f1134256")</f>
        <v>https://pan.quark.cn/s/22c4f1134256</v>
      </c>
      <c r="C441" t="inlineStr">
        <is>
          <t>54M</t>
        </is>
      </c>
      <c r="D441" t="inlineStr">
        <is>
          <t>/语文园地/专项练习/三年级上/期中/K12/学龄儿童家长</t>
        </is>
      </c>
      <c r="E441" t="inlineStr">
        <is>
          <t>https://dcn8qexvg13r.feishu.cn/share/base/query/shrcnMqxwwRkV3NUIUxPeab3sec</t>
        </is>
      </c>
      <c r="F441" t="inlineStr">
        <is>
          <t>请添加微信：k846211</t>
        </is>
      </c>
      <c r="G441" t="inlineStr">
        <is>
          <t>2025-11-13</t>
        </is>
      </c>
    </row>
    <row r="442" ht="25.5" customHeight="1">
      <c r="A442" t="inlineStr">
        <is>
          <t>四上期中高频考点训练.pdf</t>
        </is>
      </c>
      <c r="B442" s="2" t="str">
        <f>=HYPERLINK("https://pan.quark.cn/s/40f6e642bbda", "https://pan.quark.cn/s/40f6e642bbda")</f>
        <v>https://pan.quark.cn/s/40f6e642bbda</v>
      </c>
      <c r="C442" t="inlineStr">
        <is>
          <t>702.4K</t>
        </is>
      </c>
      <c r="D442" t="inlineStr">
        <is>
          <t>四上/期中/高频考点/训练/K12/学龄儿童家长</t>
        </is>
      </c>
      <c r="E442" t="inlineStr">
        <is>
          <t>https://dcn8qexvg13r.feishu.cn/share/base/query/shrcnMqxwwRkV3NUIUxPeab3sec</t>
        </is>
      </c>
      <c r="F442" t="inlineStr">
        <is>
          <t>请添加微信：k846211</t>
        </is>
      </c>
      <c r="G442" t="inlineStr">
        <is>
          <t>2025-11-13</t>
        </is>
      </c>
    </row>
    <row r="443" ht="25.5" customHeight="1">
      <c r="A443" t="inlineStr">
        <is>
          <t>四上期中高频考点2.pdf</t>
        </is>
      </c>
      <c r="B443" s="2" t="str">
        <f>=HYPERLINK("https://pan.quark.cn/s/4ecd11bbeee7", "https://pan.quark.cn/s/4ecd11bbeee7")</f>
        <v>https://pan.quark.cn/s/4ecd11bbeee7</v>
      </c>
      <c r="C443" t="inlineStr">
        <is>
          <t>376.4K</t>
        </is>
      </c>
      <c r="D443" t="inlineStr">
        <is>
          <t>/四上期中/高频考点/小学/学习资料/K12/学龄儿童家长</t>
        </is>
      </c>
      <c r="E443" t="inlineStr">
        <is>
          <t>https://dcn8qexvg13r.feishu.cn/share/base/query/shrcnMqxwwRkV3NUIUxPeab3sec</t>
        </is>
      </c>
      <c r="F443" t="inlineStr">
        <is>
          <t>请添加微信：k846211</t>
        </is>
      </c>
      <c r="G443" t="inlineStr">
        <is>
          <t>2025-11-13</t>
        </is>
      </c>
    </row>
    <row r="444" ht="25.5" customHeight="1">
      <c r="A444" t="inlineStr">
        <is>
          <t>新一上数学期中知识归类人教版.pdf</t>
        </is>
      </c>
      <c r="B444" s="2" t="str">
        <f>=HYPERLINK("https://pan.quark.cn/s/32764121faf1", "https://pan.quark.cn/s/32764121faf1")</f>
        <v>https://pan.quark.cn/s/32764121faf1</v>
      </c>
      <c r="C444" t="inlineStr">
        <is>
          <t>4.3M</t>
        </is>
      </c>
      <c r="D444" t="inlineStr">
        <is>
          <t>/数学/期中/知识归类/人教版/学龄儿童家长/K12</t>
        </is>
      </c>
      <c r="E444" t="inlineStr">
        <is>
          <t>https://dcn8qexvg13r.feishu.cn/share/base/query/shrcnMqxwwRkV3NUIUxPeab3sec</t>
        </is>
      </c>
      <c r="F444" t="inlineStr">
        <is>
          <t>请添加微信：k846211</t>
        </is>
      </c>
      <c r="G444" t="inlineStr">
        <is>
          <t>2025-11-13</t>
        </is>
      </c>
    </row>
    <row r="445" ht="25.5" customHeight="1">
      <c r="A445" t="inlineStr">
        <is>
          <t>三上期中高频考点2.pdf</t>
        </is>
      </c>
      <c r="B445" s="2" t="str">
        <f>=HYPERLINK("https://pan.quark.cn/s/2303d0f90861", "https://pan.quark.cn/s/2303d0f90861")</f>
        <v>https://pan.quark.cn/s/2303d0f90861</v>
      </c>
      <c r="C445" t="inlineStr">
        <is>
          <t>11.3M</t>
        </is>
      </c>
      <c r="D445" t="inlineStr">
        <is>
          <t>/三上期中/高频考点/学习资料/K12/学龄儿童家长</t>
        </is>
      </c>
      <c r="E445" t="inlineStr">
        <is>
          <t>https://dcn8qexvg13r.feishu.cn/share/base/query/shrcnMqxwwRkV3NUIUxPeab3sec</t>
        </is>
      </c>
      <c r="F445" t="inlineStr">
        <is>
          <t>请添加微信：k846211</t>
        </is>
      </c>
      <c r="G445" t="inlineStr">
        <is>
          <t>2025-11-13</t>
        </is>
      </c>
    </row>
    <row r="446" ht="25.5" customHeight="1">
      <c r="A446" t="inlineStr">
        <is>
          <t>三上期中高频考点.pdf</t>
        </is>
      </c>
      <c r="B446" s="2" t="str">
        <f>=HYPERLINK("https://pan.quark.cn/s/690de4a7deaf", "https://pan.quark.cn/s/690de4a7deaf")</f>
        <v>https://pan.quark.cn/s/690de4a7deaf</v>
      </c>
      <c r="C446" t="inlineStr">
        <is>
          <t>623.5K</t>
        </is>
      </c>
      <c r="D446" t="inlineStr">
        <is>
          <t>/三上/期中/高频考点/考点/K12/学龄儿童家长</t>
        </is>
      </c>
      <c r="E446" t="inlineStr">
        <is>
          <t>https://dcn8qexvg13r.feishu.cn/share/base/query/shrcnMqxwwRkV3NUIUxPeab3sec</t>
        </is>
      </c>
      <c r="F446" t="inlineStr">
        <is>
          <t>请添加微信：k846211</t>
        </is>
      </c>
      <c r="G446" t="inlineStr">
        <is>
          <t>2025-11-13</t>
        </is>
      </c>
    </row>
    <row r="447" ht="25.5" customHeight="1">
      <c r="A447" t="inlineStr">
        <is>
          <t>一上期中高频考点2.pdf</t>
        </is>
      </c>
      <c r="B447" s="2" t="str">
        <f>=HYPERLINK("https://pan.quark.cn/s/b90e44acf9f5", "https://pan.quark.cn/s/b90e44acf9f5")</f>
        <v>https://pan.quark.cn/s/b90e44acf9f5</v>
      </c>
      <c r="C447" t="inlineStr">
        <is>
          <t>791.7K</t>
        </is>
      </c>
      <c r="D447" t="inlineStr">
        <is>
          <t>/一年级上册/期中/高频考点/幼小衔接/K12/学龄儿童家长</t>
        </is>
      </c>
      <c r="E447" t="inlineStr">
        <is>
          <t>https://dcn8qexvg13r.feishu.cn/share/base/query/shrcnMqxwwRkV3NUIUxPeab3sec</t>
        </is>
      </c>
      <c r="F447" t="inlineStr">
        <is>
          <t>请添加微信：k846211</t>
        </is>
      </c>
      <c r="G447" t="inlineStr">
        <is>
          <t>2025-11-13</t>
        </is>
      </c>
    </row>
    <row r="448" ht="25.5" customHeight="1">
      <c r="A448" t="inlineStr">
        <is>
          <t>五年级上册语文期中专项课内阅读理解.pdf</t>
        </is>
      </c>
      <c r="B448" s="2" t="str">
        <f>=HYPERLINK("https://pan.quark.cn/s/7de1c1348c6c", "https://pan.quark.cn/s/7de1c1348c6c")</f>
        <v>https://pan.quark.cn/s/7de1c1348c6c</v>
      </c>
      <c r="C448" t="inlineStr">
        <is>
          <t>1.1M</t>
        </is>
      </c>
      <c r="D448" t="inlineStr">
        <is>
          <t>/五年级上册/语文/课内阅读/专项练习/K12/学龄儿童家长</t>
        </is>
      </c>
      <c r="E448" t="inlineStr">
        <is>
          <t>https://dcn8qexvg13r.feishu.cn/share/base/query/shrcnMqxwwRkV3NUIUxPeab3sec</t>
        </is>
      </c>
      <c r="F448" t="inlineStr">
        <is>
          <t>请添加微信：k846211</t>
        </is>
      </c>
      <c r="G448" t="inlineStr">
        <is>
          <t>2025-11-13</t>
        </is>
      </c>
    </row>
    <row r="449" ht="25.5" customHeight="1">
      <c r="A449" t="inlineStr">
        <is>
          <t>二上期中高频考点练习.pdf</t>
        </is>
      </c>
      <c r="B449" s="2" t="str">
        <f>=HYPERLINK("https://pan.quark.cn/s/99eb2cbd352d", "https://pan.quark.cn/s/99eb2cbd352d")</f>
        <v>https://pan.quark.cn/s/99eb2cbd352d</v>
      </c>
      <c r="C449" t="inlineStr">
        <is>
          <t>754.4K</t>
        </is>
      </c>
      <c r="D449" t="inlineStr">
        <is>
          <t>/二年级/期中/高频考点/练习/K12/学龄儿童家长</t>
        </is>
      </c>
      <c r="E449" t="inlineStr">
        <is>
          <t>https://dcn8qexvg13r.feishu.cn/share/base/query/shrcnMqxwwRkV3NUIUxPeab3sec</t>
        </is>
      </c>
      <c r="F449" t="inlineStr">
        <is>
          <t>请添加微信：k846211</t>
        </is>
      </c>
      <c r="G449" t="inlineStr">
        <is>
          <t>2025-11-13</t>
        </is>
      </c>
    </row>
    <row r="450" ht="25.5" customHeight="1">
      <c r="A450" t="inlineStr">
        <is>
          <t>三上期中考点记读.pdf</t>
        </is>
      </c>
      <c r="B450" s="2" t="str">
        <f>=HYPERLINK("https://pan.quark.cn/s/c7345894c78d", "https://pan.quark.cn/s/c7345894c78d")</f>
        <v>https://pan.quark.cn/s/c7345894c78d</v>
      </c>
      <c r="C450" t="inlineStr">
        <is>
          <t>2.5M</t>
        </is>
      </c>
      <c r="D450" t="inlineStr">
        <is>
          <t>/三年级/期中考试/考点/记读/K12/学龄儿童家长</t>
        </is>
      </c>
      <c r="E450" t="inlineStr">
        <is>
          <t>https://dcn8qexvg13r.feishu.cn/share/base/query/shrcnMqxwwRkV3NUIUxPeab3sec</t>
        </is>
      </c>
      <c r="F450" t="inlineStr">
        <is>
          <t>请添加微信：k846211</t>
        </is>
      </c>
      <c r="G450" t="inlineStr">
        <is>
          <t>2025-11-13</t>
        </is>
      </c>
    </row>
    <row r="451" ht="25.5" customHeight="1">
      <c r="A451" t="inlineStr">
        <is>
          <t>期中《语文园地专项练习》（1年级上）.pdf</t>
        </is>
      </c>
      <c r="B451" s="2" t="str">
        <f>=HYPERLINK("https://pan.quark.cn/s/d06b094ec51e", "https://pan.quark.cn/s/d06b094ec51e")</f>
        <v>https://pan.quark.cn/s/d06b094ec51e</v>
      </c>
      <c r="C451" t="inlineStr">
        <is>
          <t>32.7M</t>
        </is>
      </c>
      <c r="D451" t="inlineStr">
        <is>
          <t>/语文园地/专项练习/1年级上/期中/学龄儿童家长/K12</t>
        </is>
      </c>
      <c r="E451" t="inlineStr">
        <is>
          <t>https://dcn8qexvg13r.feishu.cn/share/base/query/shrcnMqxwwRkV3NUIUxPeab3sec</t>
        </is>
      </c>
      <c r="F451" t="inlineStr">
        <is>
          <t>请添加微信：k846211</t>
        </is>
      </c>
      <c r="G451" t="inlineStr">
        <is>
          <t>2025-11-13</t>
        </is>
      </c>
    </row>
    <row r="452" ht="25.5" customHeight="1">
      <c r="A452" t="inlineStr">
        <is>
          <t>四上期中必背综合练习.pdf</t>
        </is>
      </c>
      <c r="B452" s="2" t="str">
        <f>=HYPERLINK("https://pan.quark.cn/s/95690bfdcf1c", "https://pan.quark.cn/s/95690bfdcf1c")</f>
        <v>https://pan.quark.cn/s/95690bfdcf1c</v>
      </c>
      <c r="C452" t="inlineStr">
        <is>
          <t>295.7K</t>
        </is>
      </c>
      <c r="D452" t="inlineStr">
        <is>
          <t>/四上/期中/必背/K12/学龄儿童家长</t>
        </is>
      </c>
      <c r="E452" t="inlineStr">
        <is>
          <t>https://dcn8qexvg13r.feishu.cn/share/base/query/shrcnMqxwwRkV3NUIUxPeab3sec</t>
        </is>
      </c>
      <c r="F452" t="inlineStr">
        <is>
          <t>请添加微信：k846211</t>
        </is>
      </c>
      <c r="G452" t="inlineStr">
        <is>
          <t>2025-11-13</t>
        </is>
      </c>
    </row>
    <row r="453" ht="25.5" customHeight="1">
      <c r="A453" t="inlineStr">
        <is>
          <t>六年级上册语文期中专项课内阅读理解.pdf</t>
        </is>
      </c>
      <c r="B453" s="2" t="str">
        <f>=HYPERLINK("https://pan.quark.cn/s/e357c580ceee", "https://pan.quark.cn/s/e357c580ceee")</f>
        <v>https://pan.quark.cn/s/e357c580ceee</v>
      </c>
      <c r="C453" t="inlineStr">
        <is>
          <t>1.2M</t>
        </is>
      </c>
      <c r="D453" t="inlineStr">
        <is>
          <t>/六年级语文/课内阅读/阅读理解/专项练习/K12/学龄儿童家长</t>
        </is>
      </c>
      <c r="E453" t="inlineStr">
        <is>
          <t>https://dcn8qexvg13r.feishu.cn/share/base/query/shrcnMqxwwRkV3NUIUxPeab3sec</t>
        </is>
      </c>
      <c r="F453" t="inlineStr">
        <is>
          <t>请添加微信：k846211</t>
        </is>
      </c>
      <c r="G453" t="inlineStr">
        <is>
          <t>2025-11-13</t>
        </is>
      </c>
    </row>
    <row r="454" ht="25.5" customHeight="1">
      <c r="A454" t="inlineStr">
        <is>
          <t>二上期中高频考点2 按课文内容填空.pdf</t>
        </is>
      </c>
      <c r="B454" s="2" t="str">
        <f>=HYPERLINK("https://pan.quark.cn/s/aba2957f0fcc", "https://pan.quark.cn/s/aba2957f0fcc")</f>
        <v>https://pan.quark.cn/s/aba2957f0fcc</v>
      </c>
      <c r="C454" t="inlineStr">
        <is>
          <t>465.9K</t>
        </is>
      </c>
      <c r="D454" t="inlineStr">
        <is>
          <t>/二年级上册/期中/高频考点/按课文内容填空/K12/学龄儿童家长</t>
        </is>
      </c>
      <c r="E454" t="inlineStr">
        <is>
          <t>https://dcn8qexvg13r.feishu.cn/share/base/query/shrcnMqxwwRkV3NUIUxPeab3sec</t>
        </is>
      </c>
      <c r="F454" t="inlineStr">
        <is>
          <t>请添加微信：k846211</t>
        </is>
      </c>
      <c r="G454" t="inlineStr">
        <is>
          <t>2025-11-13</t>
        </is>
      </c>
    </row>
    <row r="455" ht="25.5" customHeight="1">
      <c r="A455" t="inlineStr">
        <is>
          <t>期中《语文园地专项练习》（4年级上）.pdf</t>
        </is>
      </c>
      <c r="B455" s="2" t="str">
        <f>=HYPERLINK("https://pan.quark.cn/s/7d9ffdf340ed", "https://pan.quark.cn/s/7d9ffdf340ed")</f>
        <v>https://pan.quark.cn/s/7d9ffdf340ed</v>
      </c>
      <c r="C455" t="inlineStr">
        <is>
          <t>58.6M</t>
        </is>
      </c>
      <c r="D455" t="inlineStr">
        <is>
          <t>/语文园地/专项练习/四年级上/期中/K12/学龄儿童家长</t>
        </is>
      </c>
      <c r="E455" t="inlineStr">
        <is>
          <t>https://dcn8qexvg13r.feishu.cn/share/base/query/shrcnMqxwwRkV3NUIUxPeab3sec</t>
        </is>
      </c>
      <c r="F455" t="inlineStr">
        <is>
          <t>请添加微信：k846211</t>
        </is>
      </c>
      <c r="G455" t="inlineStr">
        <is>
          <t>2025-11-13</t>
        </is>
      </c>
    </row>
    <row r="456" ht="25.5" customHeight="1">
      <c r="A456" t="inlineStr">
        <is>
          <t>三年级上册语文期中专项课内阅读理解.pdf</t>
        </is>
      </c>
      <c r="B456" s="2" t="str">
        <f>=HYPERLINK("https://pan.quark.cn/s/19b3566461da", "https://pan.quark.cn/s/19b3566461da")</f>
        <v>https://pan.quark.cn/s/19b3566461da</v>
      </c>
      <c r="C456" t="inlineStr">
        <is>
          <t>1007.1K</t>
        </is>
      </c>
      <c r="D456" t="inlineStr">
        <is>
          <t>/三年级上册/语文/课内阅读理解/期中专项/K12/学龄儿童家长</t>
        </is>
      </c>
      <c r="E456" t="inlineStr">
        <is>
          <t>https://dcn8qexvg13r.feishu.cn/share/base/query/shrcnMqxwwRkV3NUIUxPeab3sec</t>
        </is>
      </c>
      <c r="F456" t="inlineStr">
        <is>
          <t>请添加微信：k846211</t>
        </is>
      </c>
      <c r="G456" t="inlineStr">
        <is>
          <t>2025-11-13</t>
        </is>
      </c>
    </row>
    <row r="457" ht="25.5" customHeight="1">
      <c r="A457" t="inlineStr">
        <is>
          <t>期中《语文园地专项练习》（2年级上）.pdf</t>
        </is>
      </c>
      <c r="B457" s="2" t="str">
        <f>=HYPERLINK("https://pan.quark.cn/s/96247b792026", "https://pan.quark.cn/s/96247b792026")</f>
        <v>https://pan.quark.cn/s/96247b792026</v>
      </c>
      <c r="C457" t="inlineStr">
        <is>
          <t>30.1M</t>
        </is>
      </c>
      <c r="D457" t="inlineStr">
        <is>
          <t>/语文园地/专项练习/二年级上册/期中/K12/学龄儿童家长</t>
        </is>
      </c>
      <c r="E457" t="inlineStr">
        <is>
          <t>https://dcn8qexvg13r.feishu.cn/share/base/query/shrcnMqxwwRkV3NUIUxPeab3sec</t>
        </is>
      </c>
      <c r="F457" t="inlineStr">
        <is>
          <t>请添加微信：k846211</t>
        </is>
      </c>
      <c r="G457" t="inlineStr">
        <is>
          <t>2025-11-13</t>
        </is>
      </c>
    </row>
    <row r="458" ht="25.5" customHeight="1">
      <c r="A458" t="inlineStr">
        <is>
          <t>期中《语文园地专项练习》（6年级上）.pdf</t>
        </is>
      </c>
      <c r="B458" s="2" t="str">
        <f>=HYPERLINK("https://pan.quark.cn/s/241685b3d8d2", "https://pan.quark.cn/s/241685b3d8d2")</f>
        <v>https://pan.quark.cn/s/241685b3d8d2</v>
      </c>
      <c r="C458" t="inlineStr">
        <is>
          <t>57.5M</t>
        </is>
      </c>
      <c r="D458" t="inlineStr">
        <is>
          <t>/六年级语文/语文园地/专项练习/期中练习/K12/学龄儿童家长</t>
        </is>
      </c>
      <c r="E458" t="inlineStr">
        <is>
          <t>https://dcn8qexvg13r.feishu.cn/share/base/query/shrcnMqxwwRkV3NUIUxPeab3sec</t>
        </is>
      </c>
      <c r="F458" t="inlineStr">
        <is>
          <t>请添加微信：k846211</t>
        </is>
      </c>
      <c r="G458" t="inlineStr">
        <is>
          <t>2025-11-13</t>
        </is>
      </c>
    </row>
    <row r="459" ht="25.5" customHeight="1">
      <c r="A459" t="inlineStr">
        <is>
          <t>五上期中高频考点.pdf</t>
        </is>
      </c>
      <c r="B459" s="2" t="str">
        <f>=HYPERLINK("https://pan.quark.cn/s/bf139a507f5f", "https://pan.quark.cn/s/bf139a507f5f")</f>
        <v>https://pan.quark.cn/s/bf139a507f5f</v>
      </c>
      <c r="C459" t="inlineStr">
        <is>
          <t>10M</t>
        </is>
      </c>
      <c r="D459" t="inlineStr">
        <is>
          <t>/五年级/上册/期中/高频考点/K12/学龄儿童家长</t>
        </is>
      </c>
      <c r="E459" t="inlineStr">
        <is>
          <t>https://dcn8qexvg13r.feishu.cn/share/base/query/shrcnMqxwwRkV3NUIUxPeab3sec</t>
        </is>
      </c>
      <c r="F459" t="inlineStr">
        <is>
          <t>请添加微信：k846211</t>
        </is>
      </c>
      <c r="G459" t="inlineStr">
        <is>
          <t>2025-11-13</t>
        </is>
      </c>
    </row>
    <row r="460" ht="25.5" customHeight="1">
      <c r="A460" t="inlineStr">
        <is>
          <t>新二上数学期中知识归类人教版.pdf</t>
        </is>
      </c>
      <c r="B460" s="2" t="str">
        <f>=HYPERLINK("https://pan.quark.cn/s/bfc4c0299f7a", "https://pan.quark.cn/s/bfc4c0299f7a")</f>
        <v>https://pan.quark.cn/s/bfc4c0299f7a</v>
      </c>
      <c r="C460" t="inlineStr">
        <is>
          <t>731.6K</t>
        </is>
      </c>
      <c r="D460" t="inlineStr">
        <is>
          <t>/二年级上册数学/期中知识归类/人教版/练习资料/K12/学龄儿童家长</t>
        </is>
      </c>
      <c r="E460" t="inlineStr">
        <is>
          <t>https://dcn8qexvg13r.feishu.cn/share/base/query/shrcnMqxwwRkV3NUIUxPeab3sec</t>
        </is>
      </c>
      <c r="F460" t="inlineStr">
        <is>
          <t>请添加微信：k846211</t>
        </is>
      </c>
      <c r="G460" t="inlineStr">
        <is>
          <t>2025-11-13</t>
        </is>
      </c>
    </row>
    <row r="461" ht="25.5" customHeight="1">
      <c r="A461" t="inlineStr">
        <is>
          <t>四上期中必背综合练习（答案）.pdf</t>
        </is>
      </c>
      <c r="B461" s="2" t="str">
        <f>=HYPERLINK("https://pan.quark.cn/s/88038ea60c4b", "https://pan.quark.cn/s/88038ea60c4b")</f>
        <v>https://pan.quark.cn/s/88038ea60c4b</v>
      </c>
      <c r="C461" t="inlineStr">
        <is>
          <t>295.8K</t>
        </is>
      </c>
      <c r="D461" t="inlineStr">
        <is>
          <t>/四上期中/必背/综合练习/答案/K12/学龄儿童家长</t>
        </is>
      </c>
      <c r="E461" t="inlineStr">
        <is>
          <t>https://dcn8qexvg13r.feishu.cn/share/base/query/shrcnMqxwwRkV3NUIUxPeab3sec</t>
        </is>
      </c>
      <c r="F461" t="inlineStr">
        <is>
          <t>请添加微信：k846211</t>
        </is>
      </c>
      <c r="G461" t="inlineStr">
        <is>
          <t>2025-11-13</t>
        </is>
      </c>
    </row>
    <row r="462" ht="25.5" customHeight="1">
      <c r="A462" t="inlineStr">
        <is>
          <t>一上期中复习小卡片.pdf</t>
        </is>
      </c>
      <c r="B462" s="2" t="str">
        <f>=HYPERLINK("https://pan.quark.cn/s/4a34a382211a", "https://pan.quark.cn/s/4a34a382211a")</f>
        <v>https://pan.quark.cn/s/4a34a382211a</v>
      </c>
      <c r="C462" t="inlineStr">
        <is>
          <t>2.9M</t>
        </is>
      </c>
      <c r="D462" t="inlineStr">
        <is>
          <t>/一年级上学期/期中复习/小卡片/K12/学龄儿童家长</t>
        </is>
      </c>
      <c r="E462" t="inlineStr">
        <is>
          <t>https://dcn8qexvg13r.feishu.cn/share/base/query/shrcnMqxwwRkV3NUIUxPeab3sec</t>
        </is>
      </c>
      <c r="F462" t="inlineStr">
        <is>
          <t>请添加微信：k846211</t>
        </is>
      </c>
      <c r="G462" t="inlineStr">
        <is>
          <t>2025-11-13</t>
        </is>
      </c>
    </row>
    <row r="463" ht="25.5" customHeight="1">
      <c r="A463" t="inlineStr">
        <is>
          <t>四年级上册语文期中专项课内阅读理解.pdf</t>
        </is>
      </c>
      <c r="B463" s="2" t="str">
        <f>=HYPERLINK("https://pan.quark.cn/s/5e379ef2eece", "https://pan.quark.cn/s/5e379ef2eece")</f>
        <v>https://pan.quark.cn/s/5e379ef2eece</v>
      </c>
      <c r="C463" t="inlineStr">
        <is>
          <t>1.1M</t>
        </is>
      </c>
      <c r="D463" t="inlineStr">
        <is>
          <t>/四年级语文/课内阅读理解/期中专项/专项练习/K12/学龄儿童家长</t>
        </is>
      </c>
      <c r="E463" t="inlineStr">
        <is>
          <t>https://dcn8qexvg13r.feishu.cn/share/base/query/shrcnMqxwwRkV3NUIUxPeab3sec</t>
        </is>
      </c>
      <c r="F463" t="inlineStr">
        <is>
          <t>请添加微信：k846211</t>
        </is>
      </c>
      <c r="G463" t="inlineStr">
        <is>
          <t>2025-11-13</t>
        </is>
      </c>
    </row>
    <row r="464" ht="25.5" customHeight="1">
      <c r="A464" t="inlineStr">
        <is>
          <t>一上期中高频考点.pdf</t>
        </is>
      </c>
      <c r="B464" s="2" t="str">
        <f>=HYPERLINK("https://pan.quark.cn/s/f2d02ff4876d", "https://pan.quark.cn/s/f2d02ff4876d")</f>
        <v>https://pan.quark.cn/s/f2d02ff4876d</v>
      </c>
      <c r="C464" t="inlineStr">
        <is>
          <t>4.4M</t>
        </is>
      </c>
      <c r="D464" t="inlineStr">
        <is>
          <t>/一年级上册/期中考试/高频考点/学习资料/K12/学龄儿童家长</t>
        </is>
      </c>
      <c r="E464" t="inlineStr">
        <is>
          <t>https://dcn8qexvg13r.feishu.cn/share/base/query/shrcnMqxwwRkV3NUIUxPeab3sec</t>
        </is>
      </c>
      <c r="F464" t="inlineStr">
        <is>
          <t>请添加微信：k846211</t>
        </is>
      </c>
      <c r="G464" t="inlineStr">
        <is>
          <t>2025-11-13</t>
        </is>
      </c>
    </row>
    <row r="465" ht="25.5" customHeight="1">
      <c r="A465" t="inlineStr">
        <is>
          <t>四上期中高频考点.pdf</t>
        </is>
      </c>
      <c r="B465" s="2" t="str">
        <f>=HYPERLINK("https://pan.quark.cn/s/94e7af055c6f", "https://pan.quark.cn/s/94e7af055c6f")</f>
        <v>https://pan.quark.cn/s/94e7af055c6f</v>
      </c>
      <c r="C465" t="inlineStr">
        <is>
          <t>3.8M</t>
        </is>
      </c>
      <c r="D465" t="inlineStr">
        <is>
          <t>/四上期中/高频考点/小学四年级/复习资料/K12/学龄儿童家长</t>
        </is>
      </c>
      <c r="E465" t="inlineStr">
        <is>
          <t>https://dcn8qexvg13r.feishu.cn/share/base/query/shrcnMqxwwRkV3NUIUxPeab3sec</t>
        </is>
      </c>
      <c r="F465" t="inlineStr">
        <is>
          <t>请添加微信：k846211</t>
        </is>
      </c>
      <c r="G465" t="inlineStr">
        <is>
          <t>2025-11-13</t>
        </is>
      </c>
    </row>
    <row r="466" ht="25.5" customHeight="1">
      <c r="A466" t="inlineStr">
        <is>
          <t>六上期中高频考点.pdf</t>
        </is>
      </c>
      <c r="B466" s="2" t="str">
        <f>=HYPERLINK("https://pan.quark.cn/s/d05ac0c68d8c", "https://pan.quark.cn/s/d05ac0c68d8c")</f>
        <v>https://pan.quark.cn/s/d05ac0c68d8c</v>
      </c>
      <c r="C466" t="inlineStr">
        <is>
          <t>627.5K</t>
        </is>
      </c>
      <c r="D466" t="inlineStr">
        <is>
          <t>/六年级上册/期中/高频考点/试卷/学龄儿童家长/K12</t>
        </is>
      </c>
      <c r="E466" t="inlineStr">
        <is>
          <t>https://dcn8qexvg13r.feishu.cn/share/base/query/shrcnMqxwwRkV3NUIUxPeab3sec</t>
        </is>
      </c>
      <c r="F466" t="inlineStr">
        <is>
          <t>请添加微信：k846211</t>
        </is>
      </c>
      <c r="G466" t="inlineStr">
        <is>
          <t>2025-11-13</t>
        </is>
      </c>
    </row>
    <row r="467" ht="25.5" customHeight="1">
      <c r="A467" t="inlineStr">
        <is>
          <t>期中《语文园地专项练习》（5年级上）.pdf</t>
        </is>
      </c>
      <c r="B467" s="2" t="str">
        <f>=HYPERLINK("https://pan.quark.cn/s/55321aa21e7e", "https://pan.quark.cn/s/55321aa21e7e")</f>
        <v>https://pan.quark.cn/s/55321aa21e7e</v>
      </c>
      <c r="C467" t="inlineStr">
        <is>
          <t>60.3M</t>
        </is>
      </c>
      <c r="D467" t="inlineStr">
        <is>
          <t>/语文园地/专项练习/五年级上册/期中复习/K12/学龄儿童家长</t>
        </is>
      </c>
      <c r="E467" t="inlineStr">
        <is>
          <t>https://dcn8qexvg13r.feishu.cn/share/base/query/shrcnMqxwwRkV3NUIUxPeab3sec</t>
        </is>
      </c>
      <c r="F467" t="inlineStr">
        <is>
          <t>请添加微信：k846211</t>
        </is>
      </c>
      <c r="G467" t="inlineStr">
        <is>
          <t>2025-11-13</t>
        </is>
      </c>
    </row>
    <row r="468" ht="25.5" customHeight="1">
      <c r="A468" t="inlineStr">
        <is>
          <t>三年级（上）期中英语知识考点汇总《人教PEP版》.pdf</t>
        </is>
      </c>
      <c r="B468" s="2" t="str">
        <f>=HYPERLINK("https://pan.quark.cn/s/d2e7977a493a", "https://pan.quark.cn/s/d2e7977a493a")</f>
        <v>https://pan.quark.cn/s/d2e7977a493a</v>
      </c>
      <c r="C468" t="inlineStr">
        <is>
          <t>4.6M</t>
        </is>
      </c>
      <c r="D468" t="inlineStr">
        <is>
          <t>/三年级英语/期中考点/人教PEP版/英语知识/K12/学龄儿童家长</t>
        </is>
      </c>
      <c r="E468" t="inlineStr">
        <is>
          <t>https://dcn8qexvg13r.feishu.cn/share/base/query/shrcnMqxwwRkV3NUIUxPeab3sec</t>
        </is>
      </c>
      <c r="F468" t="inlineStr">
        <is>
          <t>请添加微信：k846211</t>
        </is>
      </c>
      <c r="G468" t="inlineStr">
        <is>
          <t>2025-11-13</t>
        </is>
      </c>
    </row>
    <row r="469" ht="25.5" customHeight="1">
      <c r="A469" t="inlineStr">
        <is>
          <t>新三上数学期中知识归类人教版.pdf</t>
        </is>
      </c>
      <c r="B469" s="2" t="str">
        <f>=HYPERLINK("https://pan.quark.cn/s/b3f4792a4761", "https://pan.quark.cn/s/b3f4792a4761")</f>
        <v>https://pan.quark.cn/s/b3f4792a4761</v>
      </c>
      <c r="C469" t="inlineStr">
        <is>
          <t>9.1M</t>
        </is>
      </c>
      <c r="D469" t="inlineStr">
        <is>
          <t>/新三上数学/期中知识归类/人教版/小学三年级数学/学龄儿童家长/K12</t>
        </is>
      </c>
      <c r="E469" t="inlineStr">
        <is>
          <t>https://dcn8qexvg13r.feishu.cn/share/base/query/shrcnMqxwwRkV3NUIUxPeab3sec</t>
        </is>
      </c>
      <c r="F469" t="inlineStr">
        <is>
          <t>请添加微信：k846211</t>
        </is>
      </c>
      <c r="G469" t="inlineStr">
        <is>
          <t>2025-11-13</t>
        </is>
      </c>
    </row>
    <row r="470" ht="25.5" customHeight="1">
      <c r="A470" t="inlineStr">
        <is>
          <t>一上期中高频考点3.pdf</t>
        </is>
      </c>
      <c r="B470" s="2" t="str">
        <f>=HYPERLINK("https://pan.quark.cn/s/860f70af03b7", "https://pan.quark.cn/s/860f70af03b7")</f>
        <v>https://pan.quark.cn/s/860f70af03b7</v>
      </c>
      <c r="C470" t="inlineStr">
        <is>
          <t>269.9K</t>
        </is>
      </c>
      <c r="D470" t="inlineStr">
        <is>
          <t>/一年级/期中考试/高频考点/数学/学龄儿童家长/K12</t>
        </is>
      </c>
      <c r="E470" t="inlineStr">
        <is>
          <t>https://dcn8qexvg13r.feishu.cn/share/base/query/shrcnMqxwwRkV3NUIUxPeab3sec</t>
        </is>
      </c>
      <c r="F470" t="inlineStr">
        <is>
          <t>请添加微信：k846211</t>
        </is>
      </c>
      <c r="G470" t="inlineStr">
        <is>
          <t>2025-11-13</t>
        </is>
      </c>
    </row>
    <row r="471" ht="25.5" customHeight="1">
      <c r="A471" t="inlineStr">
        <is>
          <t>六上期中高频考点2.pdf</t>
        </is>
      </c>
      <c r="B471" s="2" t="str">
        <f>=HYPERLINK("https://pan.quark.cn/s/7115b4e633f5", "https://pan.quark.cn/s/7115b4e633f5")</f>
        <v>https://pan.quark.cn/s/7115b4e633f5</v>
      </c>
      <c r="C471" t="inlineStr">
        <is>
          <t>1.9M</t>
        </is>
      </c>
      <c r="D471" t="inlineStr">
        <is>
          <t>/六年级上册/期中/高频考点/学习资料/K12/学龄儿童家长</t>
        </is>
      </c>
      <c r="E471" t="inlineStr">
        <is>
          <t>https://dcn8qexvg13r.feishu.cn/share/base/query/shrcnMqxwwRkV3NUIUxPeab3sec</t>
        </is>
      </c>
      <c r="F471" t="inlineStr">
        <is>
          <t>请添加微信：k846211</t>
        </is>
      </c>
      <c r="G471" t="inlineStr">
        <is>
          <t>2025-11-13</t>
        </is>
      </c>
    </row>
    <row r="472" ht="25.5" customHeight="1">
      <c r="A472" t="inlineStr">
        <is>
          <t>二上期中高频考点梳理.pdf</t>
        </is>
      </c>
      <c r="B472" s="2" t="str">
        <f>=HYPERLINK("https://pan.quark.cn/s/1213a13b72ae", "https://pan.quark.cn/s/1213a13b72ae")</f>
        <v>https://pan.quark.cn/s/1213a13b72ae</v>
      </c>
      <c r="C472" t="inlineStr">
        <is>
          <t>17.5M</t>
        </is>
      </c>
      <c r="D472" t="inlineStr">
        <is>
          <t>/二年级上册/期中/高频考点/梳理/K12/学龄儿童家长</t>
        </is>
      </c>
      <c r="E472" t="inlineStr">
        <is>
          <t>https://dcn8qexvg13r.feishu.cn/share/base/query/shrcnMqxwwRkV3NUIUxPeab3sec</t>
        </is>
      </c>
      <c r="F472" t="inlineStr">
        <is>
          <t>请添加微信：k846211</t>
        </is>
      </c>
      <c r="G472" t="inlineStr">
        <is>
          <t>2025-11-13</t>
        </is>
      </c>
    </row>
    <row r="473" ht="25.5" customHeight="1">
      <c r="A473" t="inlineStr">
        <is>
          <t>一上期中重点必考易错题.pdf</t>
        </is>
      </c>
      <c r="B473" s="2" t="str">
        <f>=HYPERLINK("https://pan.quark.cn/s/541533d2c07d", "https://pan.quark.cn/s/541533d2c07d")</f>
        <v>https://pan.quark.cn/s/541533d2c07d</v>
      </c>
      <c r="C473" t="inlineStr">
        <is>
          <t>557.9K</t>
        </is>
      </c>
      <c r="D473" t="inlineStr">
        <is>
          <t>/一年级上册/期中考试/重点/易错题/K12/学龄儿童家长</t>
        </is>
      </c>
      <c r="E473" t="inlineStr">
        <is>
          <t>https://dcn8qexvg13r.feishu.cn/share/base/query/shrcnMqxwwRkV3NUIUxPeab3sec</t>
        </is>
      </c>
      <c r="F473" t="inlineStr">
        <is>
          <t>请添加微信：k846211</t>
        </is>
      </c>
      <c r="G473" t="inlineStr">
        <is>
          <t>2025-11-13</t>
        </is>
      </c>
    </row>
    <row r="474" ht="25.5" customHeight="1">
      <c r="A474" t="inlineStr">
        <is>
          <t>湖南省衡阳市第一中学2023-2024学年高二下学期期末考试语文试题.docx</t>
        </is>
      </c>
      <c r="B474" s="2" t="str">
        <f>=HYPERLINK("https://pan.quark.cn/s/4523175ed3c4", "https://pan.quark.cn/s/4523175ed3c4")</f>
        <v>https://pan.quark.cn/s/4523175ed3c4</v>
      </c>
      <c r="C474" t="inlineStr">
        <is>
          <t>57.5K</t>
        </is>
      </c>
      <c r="D474" t="inlineStr">
        <is>
          <t>/高二语文/期末考试/试题/K12/</t>
        </is>
      </c>
      <c r="E474" t="inlineStr">
        <is>
          <t>https://dcn8qexvg13r.feishu.cn/share/base/query/shrcnMqxwwRkV3NUIUxPeab3sec</t>
        </is>
      </c>
      <c r="F474" t="inlineStr">
        <is>
          <t>请添加微信：k846211</t>
        </is>
      </c>
      <c r="G474" t="inlineStr">
        <is>
          <t>2025-11-13</t>
        </is>
      </c>
    </row>
    <row r="475" ht="25.5" customHeight="1">
      <c r="A475" t="inlineStr">
        <is>
          <t>-湖南省常德市第一中学2023-2024学年高二下学期期末考试生物试题.pdf</t>
        </is>
      </c>
      <c r="B475" s="2" t="str">
        <f>=HYPERLINK("https://pan.quark.cn/s/ddf46d610484", "https://pan.quark.cn/s/ddf46d610484")</f>
        <v>https://pan.quark.cn/s/ddf46d610484</v>
      </c>
      <c r="C475" t="inlineStr">
        <is>
          <t>8.9M</t>
        </is>
      </c>
      <c r="D475" t="inlineStr">
        <is>
          <t>/高二生物/期末考试/生物试题/常德一中/K12/学龄儿童家长</t>
        </is>
      </c>
      <c r="E475" t="inlineStr">
        <is>
          <t>https://dcn8qexvg13r.feishu.cn/share/base/query/shrcnMqxwwRkV3NUIUxPeab3sec</t>
        </is>
      </c>
      <c r="F475" t="inlineStr">
        <is>
          <t>请添加微信：k846211</t>
        </is>
      </c>
      <c r="G475" t="inlineStr">
        <is>
          <t>2025-11-13</t>
        </is>
      </c>
    </row>
    <row r="476" ht="25.5" customHeight="1">
      <c r="A476" t="inlineStr">
        <is>
          <t>-湖南省常德市第一中学2023-2024学年高二下学期期末考试地理试题.pdf</t>
        </is>
      </c>
      <c r="B476" s="2" t="str">
        <f>=HYPERLINK("https://pan.quark.cn/s/187949521938", "https://pan.quark.cn/s/187949521938")</f>
        <v>https://pan.quark.cn/s/187949521938</v>
      </c>
      <c r="C476" t="inlineStr">
        <is>
          <t>7.3M</t>
        </is>
      </c>
      <c r="D476" t="inlineStr">
        <is>
          <t>/高二地理/期末考试/地理试题/常德一中/K12/学龄儿童家长</t>
        </is>
      </c>
      <c r="E476" t="inlineStr">
        <is>
          <t>https://dcn8qexvg13r.feishu.cn/share/base/query/shrcnMqxwwRkV3NUIUxPeab3sec</t>
        </is>
      </c>
      <c r="F476" t="inlineStr">
        <is>
          <t>请添加微信：k846211</t>
        </is>
      </c>
      <c r="G476" t="inlineStr">
        <is>
          <t>2025-11-13</t>
        </is>
      </c>
    </row>
    <row r="477" ht="25.5" customHeight="1">
      <c r="A477" t="inlineStr">
        <is>
          <t>湖南省常德市第一中学2023-2024学年高二下学期期末考试英语试题.docx</t>
        </is>
      </c>
      <c r="B477" s="2" t="str">
        <f>=HYPERLINK("https://pan.quark.cn/s/5420e575dc77", "https://pan.quark.cn/s/5420e575dc77")</f>
        <v>https://pan.quark.cn/s/5420e575dc77</v>
      </c>
      <c r="C477" t="inlineStr">
        <is>
          <t>39.2K</t>
        </is>
      </c>
      <c r="D477" t="inlineStr">
        <is>
          <t>/高二英语/期末考试/试题/常德一中/K12/学龄儿童家长</t>
        </is>
      </c>
      <c r="E477" t="inlineStr">
        <is>
          <t>https://dcn8qexvg13r.feishu.cn/share/base/query/shrcnMqxwwRkV3NUIUxPeab3sec</t>
        </is>
      </c>
      <c r="F477" t="inlineStr">
        <is>
          <t>请添加微信：k846211</t>
        </is>
      </c>
      <c r="G477" t="inlineStr">
        <is>
          <t>2025-11-13</t>
        </is>
      </c>
    </row>
    <row r="478" ht="25.5" customHeight="1">
      <c r="A478" t="inlineStr">
        <is>
          <t>【化学试题】苏州市2024-2025学年高二上学期期中考试.pdf</t>
        </is>
      </c>
      <c r="B478" s="2" t="str">
        <f>=HYPERLINK("https://pan.quark.cn/s/eb112bd7845e", "https://pan.quark.cn/s/eb112bd7845e")</f>
        <v>https://pan.quark.cn/s/eb112bd7845e</v>
      </c>
      <c r="C478" t="inlineStr">
        <is>
          <t>1.5M</t>
        </is>
      </c>
      <c r="D478" t="inlineStr">
        <is>
          <t>/化学/高二/期中考试/试题/K12/学龄儿童家长</t>
        </is>
      </c>
      <c r="E478" t="inlineStr">
        <is>
          <t>https://dcn8qexvg13r.feishu.cn/share/base/query/shrcnMqxwwRkV3NUIUxPeab3sec</t>
        </is>
      </c>
      <c r="F478" t="inlineStr">
        <is>
          <t>请添加微信：k846211</t>
        </is>
      </c>
      <c r="G478" t="inlineStr">
        <is>
          <t>2025-11-13</t>
        </is>
      </c>
    </row>
    <row r="479" ht="25.5" customHeight="1">
      <c r="A479" t="inlineStr">
        <is>
          <t>重庆西南大学附属中学2026届高三上学期10月月考政治答案.pdf</t>
        </is>
      </c>
      <c r="B479" s="2" t="str">
        <f>=HYPERLINK("https://pan.quark.cn/s/5abecd375dce", "https://pan.quark.cn/s/5abecd375dce")</f>
        <v>https://pan.quark.cn/s/5abecd375dce</v>
      </c>
      <c r="C479" t="inlineStr">
        <is>
          <t>944.1K</t>
        </is>
      </c>
      <c r="D479" t="inlineStr">
        <is>
          <t>/高三政治/月考答案/西南大学附属中学/政治答案/K12/学龄儿童家长</t>
        </is>
      </c>
      <c r="E479" t="inlineStr">
        <is>
          <t>https://dcn8qexvg13r.feishu.cn/share/base/query/shrcnMqxwwRkV3NUIUxPeab3sec</t>
        </is>
      </c>
      <c r="F479" t="inlineStr">
        <is>
          <t>请添加微信：k846211</t>
        </is>
      </c>
      <c r="G479" t="inlineStr">
        <is>
          <t>2025-11-13</t>
        </is>
      </c>
    </row>
    <row r="480" ht="25.5" customHeight="1">
      <c r="A480" t="inlineStr">
        <is>
          <t>【数学答案】苏州市2024-2025学年高二上学期期中考试.pdf</t>
        </is>
      </c>
      <c r="B480" s="2" t="str">
        <f>=HYPERLINK("https://pan.quark.cn/s/2a52d315107c", "https://pan.quark.cn/s/2a52d315107c")</f>
        <v>https://pan.quark.cn/s/2a52d315107c</v>
      </c>
      <c r="C480" t="inlineStr">
        <is>
          <t>939.3K</t>
        </is>
      </c>
      <c r="D480" t="inlineStr">
        <is>
          <t>/数学/高二/期中考试/答案/K12/学龄儿童家长</t>
        </is>
      </c>
      <c r="E480" t="inlineStr">
        <is>
          <t>https://dcn8qexvg13r.feishu.cn/share/base/query/shrcnMqxwwRkV3NUIUxPeab3sec</t>
        </is>
      </c>
      <c r="F480" t="inlineStr">
        <is>
          <t>请添加微信：k846211</t>
        </is>
      </c>
      <c r="G480" t="inlineStr">
        <is>
          <t>2025-11-13</t>
        </is>
      </c>
    </row>
    <row r="481" ht="25.5" customHeight="1">
      <c r="A481" t="inlineStr">
        <is>
          <t>三上道法期中必背知识.pdf</t>
        </is>
      </c>
      <c r="B481" s="2" t="str">
        <f>=HYPERLINK("https://pan.quark.cn/s/dc9d5a33270f", "https://pan.quark.cn/s/dc9d5a33270f")</f>
        <v>https://pan.quark.cn/s/dc9d5a33270f</v>
      </c>
      <c r="C481" t="inlineStr">
        <is>
          <t>4.2M</t>
        </is>
      </c>
      <c r="D481" t="inlineStr">
        <is>
          <t>/三上道法/期中/必背知识/K12/学龄儿童家长</t>
        </is>
      </c>
      <c r="E481" t="inlineStr">
        <is>
          <t>https://dcn8qexvg13r.feishu.cn/share/base/query/shrcnMqxwwRkV3NUIUxPeab3sec</t>
        </is>
      </c>
      <c r="F481" t="inlineStr">
        <is>
          <t>请添加微信：k846211</t>
        </is>
      </c>
      <c r="G481" t="inlineStr">
        <is>
          <t>2025-11-14</t>
        </is>
      </c>
    </row>
    <row r="482" ht="25.5" customHeight="1">
      <c r="A482" t="inlineStr">
        <is>
          <t>四上道法期中必背知识.pdf</t>
        </is>
      </c>
      <c r="B482" s="2" t="str">
        <f>=HYPERLINK("https://pan.quark.cn/s/364dc64f7027", "https://pan.quark.cn/s/364dc64f7027")</f>
        <v>https://pan.quark.cn/s/364dc64f7027</v>
      </c>
      <c r="C482" t="inlineStr">
        <is>
          <t>4.2M</t>
        </is>
      </c>
      <c r="D482" t="inlineStr">
        <is>
          <t>/四上道法/期中/必背知识/pdf/K12/学龄儿童家长</t>
        </is>
      </c>
      <c r="E482" t="inlineStr">
        <is>
          <t>https://dcn8qexvg13r.feishu.cn/share/base/query/shrcnMqxwwRkV3NUIUxPeab3sec</t>
        </is>
      </c>
      <c r="F482" t="inlineStr">
        <is>
          <t>请添加微信：k846211</t>
        </is>
      </c>
      <c r="G482" t="inlineStr">
        <is>
          <t>2025-11-14</t>
        </is>
      </c>
    </row>
    <row r="483" ht="25.5" customHeight="1">
      <c r="A483" t="inlineStr">
        <is>
          <t>五上道法期中必背知识.pdf</t>
        </is>
      </c>
      <c r="B483" s="2" t="str">
        <f>=HYPERLINK("https://pan.quark.cn/s/bf4d652f922e", "https://pan.quark.cn/s/bf4d652f922e")</f>
        <v>https://pan.quark.cn/s/bf4d652f922e</v>
      </c>
      <c r="C483" t="inlineStr">
        <is>
          <t>7.4M</t>
        </is>
      </c>
      <c r="D483" t="inlineStr">
        <is>
          <t>/五上道法/期中/必背知识/PDF/K12/学龄儿童家长</t>
        </is>
      </c>
      <c r="E483" t="inlineStr">
        <is>
          <t>https://dcn8qexvg13r.feishu.cn/share/base/query/shrcnMqxwwRkV3NUIUxPeab3sec</t>
        </is>
      </c>
      <c r="F483" t="inlineStr">
        <is>
          <t>请添加微信：k846211</t>
        </is>
      </c>
      <c r="G483" t="inlineStr">
        <is>
          <t>2025-11-14</t>
        </is>
      </c>
    </row>
    <row r="484" ht="25.5" customHeight="1">
      <c r="A484" t="inlineStr">
        <is>
          <t>六上道法期中必背知识.pdf</t>
        </is>
      </c>
      <c r="B484" s="2" t="str">
        <f>=HYPERLINK("https://pan.quark.cn/s/d7eebfbbbaab", "https://pan.quark.cn/s/d7eebfbbbaab")</f>
        <v>https://pan.quark.cn/s/d7eebfbbbaab</v>
      </c>
      <c r="C484" t="inlineStr">
        <is>
          <t>5.6M</t>
        </is>
      </c>
      <c r="D484" t="inlineStr">
        <is>
          <t>/六上道法/期中/必背知识/PDF/K12/学龄儿童家长</t>
        </is>
      </c>
      <c r="E484" t="inlineStr">
        <is>
          <t>https://dcn8qexvg13r.feishu.cn/share/base/query/shrcnMqxwwRkV3NUIUxPeab3sec</t>
        </is>
      </c>
      <c r="F484" t="inlineStr">
        <is>
          <t>请添加微信：k846211</t>
        </is>
      </c>
      <c r="G484" t="inlineStr">
        <is>
          <t>2025-11-14</t>
        </is>
      </c>
    </row>
    <row r="485" ht="25.5" customHeight="1">
      <c r="A485" t="inlineStr">
        <is>
          <t>25秋 王朝霞活页卷单元 语文 上册</t>
        </is>
      </c>
      <c r="B485" s="2" t="str">
        <f>=HYPERLINK("https://pan.quark.cn/s/820ad45c6710", "https://pan.quark.cn/s/820ad45c6710")</f>
        <v>https://pan.quark.cn/s/820ad45c6710</v>
      </c>
      <c r="C485" t="inlineStr">
        <is>
          <t>247.4M</t>
        </is>
      </c>
      <c r="D485" t="inlineStr">
        <is>
          <t>/王朝霞活页卷/单元测试/语文上册/25秋/K12/学龄儿童家长</t>
        </is>
      </c>
      <c r="E485" t="inlineStr">
        <is>
          <t>https://dcn8qexvg13r.feishu.cn/share/base/query/shrcnMqxwwRkV3NUIUxPeab3sec</t>
        </is>
      </c>
      <c r="F485" t="inlineStr">
        <is>
          <t>请添加微信：k846211</t>
        </is>
      </c>
      <c r="G485" t="inlineStr">
        <is>
          <t>2025-11-14</t>
        </is>
      </c>
    </row>
    <row r="486" ht="25.5" customHeight="1">
      <c r="A486" t="inlineStr">
        <is>
          <t>王朝霞单元活页卷 数学人教版</t>
        </is>
      </c>
      <c r="B486" s="2" t="str">
        <f>=HYPERLINK("https://pan.quark.cn/s/c1a6692a0af1", "https://pan.quark.cn/s/c1a6692a0af1")</f>
        <v>https://pan.quark.cn/s/c1a6692a0af1</v>
      </c>
      <c r="C486" t="inlineStr">
        <is>
          <t>224.1M</t>
        </is>
      </c>
      <c r="D486" t="inlineStr">
        <is>
          <t>/数学/单元活页卷/人教版/王朝霞/K12/学龄儿童家长</t>
        </is>
      </c>
      <c r="E486" t="inlineStr">
        <is>
          <t>https://dcn8qexvg13r.feishu.cn/share/base/query/shrcnMqxwwRkV3NUIUxPeab3sec</t>
        </is>
      </c>
      <c r="F486" t="inlineStr">
        <is>
          <t>请添加微信：k846211</t>
        </is>
      </c>
      <c r="G486" t="inlineStr">
        <is>
          <t>2025-11-14</t>
        </is>
      </c>
    </row>
    <row r="487" ht="25.5" customHeight="1">
      <c r="A487" t="inlineStr">
        <is>
          <t>单元活页卷 数学苏教版（上册）</t>
        </is>
      </c>
      <c r="B487" s="2" t="str">
        <f>=HYPERLINK("https://pan.quark.cn/s/293543587e13", "https://pan.quark.cn/s/293543587e13")</f>
        <v>https://pan.quark.cn/s/293543587e13</v>
      </c>
      <c r="C487" t="inlineStr">
        <is>
          <t>391.3M</t>
        </is>
      </c>
      <c r="D487" t="inlineStr">
        <is>
          <t>/数学/苏教版/单元测试/活页卷/K12/学龄儿童家长</t>
        </is>
      </c>
      <c r="E487" t="inlineStr">
        <is>
          <t>https://dcn8qexvg13r.feishu.cn/share/base/query/shrcnMqxwwRkV3NUIUxPeab3sec</t>
        </is>
      </c>
      <c r="F487" t="inlineStr">
        <is>
          <t>请添加微信：k846211</t>
        </is>
      </c>
      <c r="G487" t="inlineStr">
        <is>
          <t>2025-11-14</t>
        </is>
      </c>
    </row>
    <row r="488" ht="25.5" customHeight="1">
      <c r="A488" t="inlineStr">
        <is>
          <t>王朝霞单元活页卷 数学北师版（上册）</t>
        </is>
      </c>
      <c r="B488" s="2" t="str">
        <f>=HYPERLINK("https://pan.quark.cn/s/cd0776f97fa2", "https://pan.quark.cn/s/cd0776f97fa2")</f>
        <v>https://pan.quark.cn/s/cd0776f97fa2</v>
      </c>
      <c r="C488" t="inlineStr">
        <is>
          <t>217.6M</t>
        </is>
      </c>
      <c r="D488" t="inlineStr">
        <is>
          <t>/数学/单元活页卷/北师版/上册/K12/学龄儿童家长</t>
        </is>
      </c>
      <c r="E488" t="inlineStr">
        <is>
          <t>https://dcn8qexvg13r.feishu.cn/share/base/query/shrcnMqxwwRkV3NUIUxPeab3sec</t>
        </is>
      </c>
      <c r="F488" t="inlineStr">
        <is>
          <t>请添加微信：k846211</t>
        </is>
      </c>
      <c r="G488" t="inlineStr">
        <is>
          <t>2025-11-14</t>
        </is>
      </c>
    </row>
    <row r="489" ht="25.5" customHeight="1">
      <c r="A489" t="inlineStr">
        <is>
          <t>单元活页卷 数学冀教版（上册）</t>
        </is>
      </c>
      <c r="B489" s="2" t="str">
        <f>=HYPERLINK("https://pan.quark.cn/s/595cb9670e72", "https://pan.quark.cn/s/595cb9670e72")</f>
        <v>https://pan.quark.cn/s/595cb9670e72</v>
      </c>
      <c r="C489" t="inlineStr">
        <is>
          <t>372.3M</t>
        </is>
      </c>
      <c r="D489" t="inlineStr">
        <is>
          <t>/数学/冀教版/单元活页卷/上册/K12/学龄儿童家长</t>
        </is>
      </c>
      <c r="E489" t="inlineStr">
        <is>
          <t>https://dcn8qexvg13r.feishu.cn/share/base/query/shrcnMqxwwRkV3NUIUxPeab3sec</t>
        </is>
      </c>
      <c r="F489" t="inlineStr">
        <is>
          <t>请添加微信：k846211</t>
        </is>
      </c>
      <c r="G489" t="inlineStr">
        <is>
          <t>2025-11-14</t>
        </is>
      </c>
    </row>
    <row r="490" ht="25.5" customHeight="1">
      <c r="A490" t="inlineStr">
        <is>
          <t>单元活页卷 英语人教版</t>
        </is>
      </c>
      <c r="B490" s="2" t="str">
        <f>=HYPERLINK("https://pan.quark.cn/s/a71116ab6990", "https://pan.quark.cn/s/a71116ab6990")</f>
        <v>https://pan.quark.cn/s/a71116ab6990</v>
      </c>
      <c r="C490" t="inlineStr">
        <is>
          <t>155.1M</t>
        </is>
      </c>
      <c r="D490" t="inlineStr">
        <is>
          <t>/英语/人教版/单元活页卷/练习/K12/学龄儿童家长</t>
        </is>
      </c>
      <c r="E490" t="inlineStr">
        <is>
          <t>https://dcn8qexvg13r.feishu.cn/share/base/query/shrcnMqxwwRkV3NUIUxPeab3sec</t>
        </is>
      </c>
      <c r="F490" t="inlineStr">
        <is>
          <t>请添加微信：k846211</t>
        </is>
      </c>
      <c r="G490" t="inlineStr">
        <is>
          <t>2025-11-14</t>
        </is>
      </c>
    </row>
    <row r="491" ht="25.5" customHeight="1">
      <c r="A491" t="inlineStr">
        <is>
          <t>00  华杯赛历届真题</t>
        </is>
      </c>
      <c r="B491" s="2" t="str">
        <f>=HYPERLINK("https://pan.quark.cn/s/71187129ae45", "https://pan.quark.cn/s/71187129ae45")</f>
        <v>https://pan.quark.cn/s/71187129ae45</v>
      </c>
      <c r="C491" t="inlineStr">
        <is>
          <t>1.7G</t>
        </is>
      </c>
      <c r="D491" t="inlineStr">
        <is>
          <t>/华杯赛/数学竞赛/历届真题/备考资料/K12/学龄儿童家长</t>
        </is>
      </c>
      <c r="E491" t="inlineStr">
        <is>
          <t>https://dcn8qexvg13r.feishu.cn/share/base/query/shrcnMqxwwRkV3NUIUxPeab3sec</t>
        </is>
      </c>
      <c r="F491" t="inlineStr">
        <is>
          <t>请添加微信：k846211</t>
        </is>
      </c>
      <c r="G491" t="inlineStr">
        <is>
          <t>2025-11-14</t>
        </is>
      </c>
    </row>
    <row r="492" ht="25.5" customHeight="1">
      <c r="A492" t="inlineStr">
        <is>
          <t>三年级英语上册人教PEP版25秋《默写能手》</t>
        </is>
      </c>
      <c r="B492" s="2" t="str">
        <f>=HYPERLINK("https://pan.quark.cn/s/fec9c190dc7d", "https://pan.quark.cn/s/fec9c190dc7d")</f>
        <v>https://pan.quark.cn/s/fec9c190dc7d</v>
      </c>
      <c r="C492" t="inlineStr">
        <is>
          <t>76.8M</t>
        </is>
      </c>
      <c r="D492" t="inlineStr">
        <is>
          <t>/三年级英语/人教PEP版/默写能手/英语默写/K12/学龄儿童家长</t>
        </is>
      </c>
      <c r="E492" t="inlineStr">
        <is>
          <t>https://dcn8qexvg13r.feishu.cn/share/base/query/shrcnMqxwwRkV3NUIUxPeab3sec</t>
        </is>
      </c>
      <c r="F492" t="inlineStr">
        <is>
          <t>请添加微信：k846211</t>
        </is>
      </c>
      <c r="G492" t="inlineStr">
        <is>
          <t>2025-11-15</t>
        </is>
      </c>
    </row>
    <row r="493" ht="25.5" customHeight="1">
      <c r="A493" t="inlineStr">
        <is>
          <t>四年级英语上册人教PEP版25秋《默写能手》</t>
        </is>
      </c>
      <c r="B493" s="2" t="str">
        <f>=HYPERLINK("https://pan.quark.cn/s/c3d8a32c4b19", "https://pan.quark.cn/s/c3d8a32c4b19")</f>
        <v>https://pan.quark.cn/s/c3d8a32c4b19</v>
      </c>
      <c r="C493" t="inlineStr">
        <is>
          <t>129.9M</t>
        </is>
      </c>
      <c r="D493" t="inlineStr">
        <is>
          <t>/四年级英语/人教PEP版/默写能手/K12/学龄儿童家长</t>
        </is>
      </c>
      <c r="E493" t="inlineStr">
        <is>
          <t>https://dcn8qexvg13r.feishu.cn/share/base/query/shrcnMqxwwRkV3NUIUxPeab3sec</t>
        </is>
      </c>
      <c r="F493" t="inlineStr">
        <is>
          <t>请添加微信：k846211</t>
        </is>
      </c>
      <c r="G493" t="inlineStr">
        <is>
          <t>2025-11-15</t>
        </is>
      </c>
    </row>
    <row r="494" ht="25.5" customHeight="1">
      <c r="A494" t="inlineStr">
        <is>
          <t>五年级英语上册人教PEP版25秋《默写能手》</t>
        </is>
      </c>
      <c r="B494" s="2" t="str">
        <f>=HYPERLINK("https://pan.quark.cn/s/33deecab9d79", "https://pan.quark.cn/s/33deecab9d79")</f>
        <v>https://pan.quark.cn/s/33deecab9d79</v>
      </c>
      <c r="C494" t="inlineStr">
        <is>
          <t>130.7M</t>
        </is>
      </c>
      <c r="D494" t="inlineStr">
        <is>
          <t>/五年级英语/人教PEP版/默写能手/英语默写/K12/学龄儿童家长</t>
        </is>
      </c>
      <c r="E494" t="inlineStr">
        <is>
          <t>https://dcn8qexvg13r.feishu.cn/share/base/query/shrcnMqxwwRkV3NUIUxPeab3sec</t>
        </is>
      </c>
      <c r="F494" t="inlineStr">
        <is>
          <t>请添加微信：k846211</t>
        </is>
      </c>
      <c r="G494" t="inlineStr">
        <is>
          <t>2025-11-15</t>
        </is>
      </c>
    </row>
    <row r="495" ht="25.5" customHeight="1">
      <c r="A495" t="inlineStr">
        <is>
          <t>六年级英语上册人教PEP版25秋《默写能手》</t>
        </is>
      </c>
      <c r="B495" s="2" t="str">
        <f>=HYPERLINK("https://pan.quark.cn/s/7b14b902f193", "https://pan.quark.cn/s/7b14b902f193")</f>
        <v>https://pan.quark.cn/s/7b14b902f193</v>
      </c>
      <c r="C495" t="inlineStr">
        <is>
          <t>122.5M</t>
        </is>
      </c>
      <c r="D495" t="inlineStr">
        <is>
          <t>/六年级英语/人教PEP版/默写能手/25秋/K12/学龄儿童家长</t>
        </is>
      </c>
      <c r="E495" t="inlineStr">
        <is>
          <t>https://dcn8qexvg13r.feishu.cn/share/base/query/shrcnMqxwwRkV3NUIUxPeab3sec</t>
        </is>
      </c>
      <c r="F495" t="inlineStr">
        <is>
          <t>请添加微信：k846211</t>
        </is>
      </c>
      <c r="G495" t="inlineStr">
        <is>
          <t>2025-11-15</t>
        </is>
      </c>
    </row>
    <row r="496" ht="25.5" customHeight="1">
      <c r="A496" t="inlineStr">
        <is>
          <t>根源数学六年级</t>
        </is>
      </c>
      <c r="B496" s="2" t="str">
        <f>=HYPERLINK("https://pan.quark.cn/s/c01f2bfe030f", "https://pan.quark.cn/s/c01f2bfe030f")</f>
        <v>https://pan.quark.cn/s/c01f2bfe030f</v>
      </c>
      <c r="C496" t="inlineStr">
        <is>
          <t>70.9G</t>
        </is>
      </c>
      <c r="D496" t="inlineStr">
        <is>
          <t>/数学/六年级/中小学教育/学习辅导/K12/学龄儿童家长</t>
        </is>
      </c>
      <c r="E496" t="inlineStr">
        <is>
          <t>https://dcn8qexvg13r.feishu.cn/share/base/query/shrcnMqxwwRkV3NUIUxPeab3sec</t>
        </is>
      </c>
      <c r="F496" t="inlineStr">
        <is>
          <t>请添加微信：k846211</t>
        </is>
      </c>
      <c r="G496" t="inlineStr">
        <is>
          <t>2025-11-16</t>
        </is>
      </c>
    </row>
    <row r="497" ht="25.5" customHeight="1">
      <c r="A497" t="inlineStr">
        <is>
          <t>根源数学六年级</t>
        </is>
      </c>
      <c r="B497" s="2" t="str">
        <f>=HYPERLINK("https://pan.quark.cn/s/c62f942cbe56", "https://pan.quark.cn/s/c62f942cbe56")</f>
        <v>https://pan.quark.cn/s/c62f942cbe56</v>
      </c>
      <c r="C497" t="inlineStr">
        <is>
          <t>70.9G</t>
        </is>
      </c>
      <c r="D497" t="inlineStr">
        <is>
          <t>/数学/六年级/教学资源/学习辅导/K12/学龄儿童家长</t>
        </is>
      </c>
      <c r="E497" t="inlineStr">
        <is>
          <t>https://dcn8qexvg13r.feishu.cn/share/base/query/shrcnMqxwwRkV3NUIUxPeab3sec</t>
        </is>
      </c>
      <c r="F497" t="inlineStr">
        <is>
          <t>请添加微信：k846211</t>
        </is>
      </c>
      <c r="G497" t="inlineStr">
        <is>
          <t>2025-11-16</t>
        </is>
      </c>
    </row>
    <row r="498" ht="25.5" customHeight="1">
      <c r="A498" t="inlineStr">
        <is>
          <t>L7</t>
        </is>
      </c>
      <c r="B498" s="2" t="str">
        <f>=HYPERLINK("https://pan.quark.cn/s/12e9e30f5bcf", "https://pan.quark.cn/s/12e9e30f5bcf")</f>
        <v>https://pan.quark.cn/s/12e9e30f5bcf</v>
      </c>
      <c r="C498" t="inlineStr">
        <is>
          <t>174.8G</t>
        </is>
      </c>
      <c r="D498" t="inlineStr">
        <is>
          <t>/其他</t>
        </is>
      </c>
      <c r="E498" t="inlineStr">
        <is>
          <t>https://dcn8qexvg13r.feishu.cn/share/base/query/shrcnMqxwwRkV3NUIUxPeab3sec</t>
        </is>
      </c>
      <c r="F498" t="inlineStr">
        <is>
          <t>请添加微信：k846211</t>
        </is>
      </c>
      <c r="G498" t="inlineStr">
        <is>
          <t>2025-11-16</t>
        </is>
      </c>
    </row>
    <row r="499" ht="25.5" customHeight="1">
      <c r="A499" t="inlineStr">
        <is>
          <t>31112新三上语文1-8单元课内阅读理解专项（含答案23页）.pdf</t>
        </is>
      </c>
      <c r="B499" s="2" t="str">
        <f>=HYPERLINK("https://pan.quark.cn/s/bc6424d30484", "https://pan.quark.cn/s/bc6424d30484")</f>
        <v>https://pan.quark.cn/s/bc6424d30484</v>
      </c>
      <c r="C499" t="inlineStr">
        <is>
          <t>5.6M</t>
        </is>
      </c>
      <c r="D499" t="inlineStr">
        <is>
          <t>/三年级语文/课内阅读理解/专项练习/含答案/K12/学龄儿童家长</t>
        </is>
      </c>
      <c r="E499" t="inlineStr">
        <is>
          <t>https://dcn8qexvg13r.feishu.cn/share/base/query/shrcnMqxwwRkV3NUIUxPeab3sec</t>
        </is>
      </c>
      <c r="F499" t="inlineStr">
        <is>
          <t>请添加微信：k846211</t>
        </is>
      </c>
      <c r="G499" t="inlineStr">
        <is>
          <t>2025-11-17</t>
        </is>
      </c>
    </row>
    <row r="500" ht="25.5" customHeight="1">
      <c r="A500" t="inlineStr">
        <is>
          <t>41112【1-8单元阅读知识考点及答题格式】四上语文.pdf</t>
        </is>
      </c>
      <c r="B500" s="2" t="str">
        <f>=HYPERLINK("https://pan.quark.cn/s/fc61415bb7f7", "https://pan.quark.cn/s/fc61415bb7f7")</f>
        <v>https://pan.quark.cn/s/fc61415bb7f7</v>
      </c>
      <c r="C500" t="inlineStr">
        <is>
          <t>790.9K</t>
        </is>
      </c>
      <c r="D500" t="inlineStr">
        <is>
          <t>/四年级上册语文/阅读考点/答题格式/小学语文/K12/学龄儿童家长</t>
        </is>
      </c>
      <c r="E500" t="inlineStr">
        <is>
          <t>https://dcn8qexvg13r.feishu.cn/share/base/query/shrcnMqxwwRkV3NUIUxPeab3sec</t>
        </is>
      </c>
      <c r="F500" t="inlineStr">
        <is>
          <t>请添加微信：k846211</t>
        </is>
      </c>
      <c r="G500" t="inlineStr">
        <is>
          <t>2025-11-17</t>
        </is>
      </c>
    </row>
    <row r="501" ht="25.5" customHeight="1">
      <c r="A501" t="inlineStr">
        <is>
          <t>51112五上语文课内阅读理解小纸条（含答案14页）.pdf</t>
        </is>
      </c>
      <c r="B501" s="2" t="str">
        <f>=HYPERLINK("https://pan.quark.cn/s/dd63c9b0e276", "https://pan.quark.cn/s/dd63c9b0e276")</f>
        <v>https://pan.quark.cn/s/dd63c9b0e276</v>
      </c>
      <c r="C501" t="inlineStr">
        <is>
          <t>1M</t>
        </is>
      </c>
      <c r="D501" t="inlineStr">
        <is>
          <t>/五上语文/课内阅读/阅读理解/答案解析/K12/学龄儿童家长</t>
        </is>
      </c>
      <c r="E501" t="inlineStr">
        <is>
          <t>https://dcn8qexvg13r.feishu.cn/share/base/query/shrcnMqxwwRkV3NUIUxPeab3sec</t>
        </is>
      </c>
      <c r="F501" t="inlineStr">
        <is>
          <t>请添加微信：k846211</t>
        </is>
      </c>
      <c r="G501" t="inlineStr">
        <is>
          <t>2025-11-17</t>
        </is>
      </c>
    </row>
    <row r="502" ht="25.5" customHeight="1">
      <c r="A502" t="inlineStr">
        <is>
          <t>25新一上语文全册一课一练(含答案32页).pdf</t>
        </is>
      </c>
      <c r="B502" s="2" t="str">
        <f>=HYPERLINK("https://pan.quark.cn/s/8daec4020889", "https://pan.quark.cn/s/8daec4020889")</f>
        <v>https://pan.quark.cn/s/8daec4020889</v>
      </c>
      <c r="C502" t="inlineStr">
        <is>
          <t>9.7M</t>
        </is>
      </c>
      <c r="D502" t="inlineStr">
        <is>
          <t>/新一上语文/一课一练/含答案/K12/学龄儿童家长</t>
        </is>
      </c>
      <c r="E502" t="inlineStr">
        <is>
          <t>https://dcn8qexvg13r.feishu.cn/share/base/query/shrcnMqxwwRkV3NUIUxPeab3sec</t>
        </is>
      </c>
      <c r="F502" t="inlineStr">
        <is>
          <t>请添加微信：k846211</t>
        </is>
      </c>
      <c r="G502" t="inlineStr">
        <is>
          <t>2025-11-17</t>
        </is>
      </c>
    </row>
    <row r="503" ht="25.5" customHeight="1">
      <c r="A503" t="inlineStr">
        <is>
          <t>25新二上语文全册一课一练</t>
        </is>
      </c>
      <c r="B503" s="2" t="str">
        <f>=HYPERLINK("https://pan.quark.cn/s/6228eaa59e85", "https://pan.quark.cn/s/6228eaa59e85")</f>
        <v>https://pan.quark.cn/s/6228eaa59e85</v>
      </c>
      <c r="C503" t="inlineStr">
        <is>
          <t>30.7M</t>
        </is>
      </c>
      <c r="D503" t="inlineStr">
        <is>
          <t>/语文/二年级上册/一课一练/练习册/K12/学龄儿童家长</t>
        </is>
      </c>
      <c r="E503" t="inlineStr">
        <is>
          <t>https://dcn8qexvg13r.feishu.cn/share/base/query/shrcnMqxwwRkV3NUIUxPeab3sec</t>
        </is>
      </c>
      <c r="F503" t="inlineStr">
        <is>
          <t>请添加微信：k846211</t>
        </is>
      </c>
      <c r="G503" t="inlineStr">
        <is>
          <t>2025-11-17</t>
        </is>
      </c>
    </row>
    <row r="504" ht="25.5" customHeight="1">
      <c r="A504" t="inlineStr">
        <is>
          <t>25新三上语文全册一课一练（含答案52页）.pdf</t>
        </is>
      </c>
      <c r="B504" s="2" t="str">
        <f>=HYPERLINK("https://pan.quark.cn/s/3aeb58029b0e", "https://pan.quark.cn/s/3aeb58029b0e")</f>
        <v>https://pan.quark.cn/s/3aeb58029b0e</v>
      </c>
      <c r="C504" t="inlineStr">
        <is>
          <t>22.8M</t>
        </is>
      </c>
      <c r="D504" t="inlineStr">
        <is>
          <t>/三年级上册/语文/一课一练/含答案/K12/学龄儿童家长</t>
        </is>
      </c>
      <c r="E504" t="inlineStr">
        <is>
          <t>https://dcn8qexvg13r.feishu.cn/share/base/query/shrcnMqxwwRkV3NUIUxPeab3sec</t>
        </is>
      </c>
      <c r="F504" t="inlineStr">
        <is>
          <t>请添加微信：k846211</t>
        </is>
      </c>
      <c r="G504" t="inlineStr">
        <is>
          <t>2025-11-17</t>
        </is>
      </c>
    </row>
    <row r="505" ht="25.5" customHeight="1">
      <c r="A505" t="inlineStr">
        <is>
          <t>25新四上语文全册一课一练</t>
        </is>
      </c>
      <c r="B505" s="2" t="str">
        <f>=HYPERLINK("https://pan.quark.cn/s/14129a91bfc6", "https://pan.quark.cn/s/14129a91bfc6")</f>
        <v>https://pan.quark.cn/s/14129a91bfc6</v>
      </c>
      <c r="C505" t="inlineStr">
        <is>
          <t>5.6M</t>
        </is>
      </c>
      <c r="D505" t="inlineStr">
        <is>
          <t>/四年级语文/一课一练/同步练习/K12/学龄儿童家长</t>
        </is>
      </c>
      <c r="E505" t="inlineStr">
        <is>
          <t>https://dcn8qexvg13r.feishu.cn/share/base/query/shrcnMqxwwRkV3NUIUxPeab3sec</t>
        </is>
      </c>
      <c r="F505" t="inlineStr">
        <is>
          <t>请添加微信：k846211</t>
        </is>
      </c>
      <c r="G505" t="inlineStr">
        <is>
          <t>2025-11-17</t>
        </is>
      </c>
    </row>
    <row r="506" ht="25.5" customHeight="1">
      <c r="A506" t="inlineStr">
        <is>
          <t>25新五上语文全册一课一练</t>
        </is>
      </c>
      <c r="B506" s="2" t="str">
        <f>=HYPERLINK("https://pan.quark.cn/s/3db65b481b61", "https://pan.quark.cn/s/3db65b481b61")</f>
        <v>https://pan.quark.cn/s/3db65b481b61</v>
      </c>
      <c r="C506" t="inlineStr">
        <is>
          <t>5.5M</t>
        </is>
      </c>
      <c r="D506" t="inlineStr">
        <is>
          <t>/五年级上册/语文/一课一练/同步练习/K12/学龄儿童家长</t>
        </is>
      </c>
      <c r="E506" t="inlineStr">
        <is>
          <t>https://dcn8qexvg13r.feishu.cn/share/base/query/shrcnMqxwwRkV3NUIUxPeab3sec</t>
        </is>
      </c>
      <c r="F506" t="inlineStr">
        <is>
          <t>请添加微信：k846211</t>
        </is>
      </c>
      <c r="G506" t="inlineStr">
        <is>
          <t>2025-11-17</t>
        </is>
      </c>
    </row>
    <row r="507" ht="25.5" customHeight="1">
      <c r="A507" t="inlineStr">
        <is>
          <t>25新六上语文全册一课一练.pdf</t>
        </is>
      </c>
      <c r="B507" s="2" t="str">
        <f>=HYPERLINK("https://pan.quark.cn/s/eb03fb9d296b", "https://pan.quark.cn/s/eb03fb9d296b")</f>
        <v>https://pan.quark.cn/s/eb03fb9d296b</v>
      </c>
      <c r="C507" t="inlineStr">
        <is>
          <t>37.3M</t>
        </is>
      </c>
      <c r="D507" t="inlineStr">
        <is>
          <t>/六年级上册语文/一课一练/同步练习/小学语文/K12/学龄儿童家长</t>
        </is>
      </c>
      <c r="E507" t="inlineStr">
        <is>
          <t>https://dcn8qexvg13r.feishu.cn/share/base/query/shrcnMqxwwRkV3NUIUxPeab3sec</t>
        </is>
      </c>
      <c r="F507" t="inlineStr">
        <is>
          <t>请添加微信：k846211</t>
        </is>
      </c>
      <c r="G507" t="inlineStr">
        <is>
          <t>2025-11-17</t>
        </is>
      </c>
    </row>
    <row r="508" ht="25.5" customHeight="1">
      <c r="A508" t="inlineStr">
        <is>
          <t>一本阅读1年级《每日一练》</t>
        </is>
      </c>
      <c r="B508" s="2" t="str">
        <f>=HYPERLINK("https://pan.quark.cn/s/8ab172465345", "https://pan.quark.cn/s/8ab172465345")</f>
        <v>https://pan.quark.cn/s/8ab172465345</v>
      </c>
      <c r="C508" t="inlineStr">
        <is>
          <t>5.7M</t>
        </is>
      </c>
      <c r="D508" t="inlineStr">
        <is>
          <t>/阅读/每日一练/一年级/K12/学龄儿童家长</t>
        </is>
      </c>
      <c r="E508" t="inlineStr">
        <is>
          <t>https://dcn8qexvg13r.feishu.cn/share/base/query/shrcnMqxwwRkV3NUIUxPeab3sec</t>
        </is>
      </c>
      <c r="F508" t="inlineStr">
        <is>
          <t>请添加微信：k846211</t>
        </is>
      </c>
      <c r="G508" t="inlineStr">
        <is>
          <t>2025-11-17</t>
        </is>
      </c>
    </row>
    <row r="509" ht="25.5" customHeight="1">
      <c r="A509" t="inlineStr">
        <is>
          <t>一本阅读2年级《每日一练》</t>
        </is>
      </c>
      <c r="B509" s="2" t="str">
        <f>=HYPERLINK("https://pan.quark.cn/s/4927b00dac83", "https://pan.quark.cn/s/4927b00dac83")</f>
        <v>https://pan.quark.cn/s/4927b00dac83</v>
      </c>
      <c r="C509" t="inlineStr">
        <is>
          <t>4.9M</t>
        </is>
      </c>
      <c r="D509" t="inlineStr">
        <is>
          <t>/阅读/每日一练/2年级/练习册/K12/学龄儿童家长</t>
        </is>
      </c>
      <c r="E509" t="inlineStr">
        <is>
          <t>https://dcn8qexvg13r.feishu.cn/share/base/query/shrcnMqxwwRkV3NUIUxPeab3sec</t>
        </is>
      </c>
      <c r="F509" t="inlineStr">
        <is>
          <t>请添加微信：k846211</t>
        </is>
      </c>
      <c r="G509" t="inlineStr">
        <is>
          <t>2025-11-17</t>
        </is>
      </c>
    </row>
    <row r="510" ht="25.5" customHeight="1">
      <c r="A510" t="inlineStr">
        <is>
          <t>一本阅读3年级《每日一练》</t>
        </is>
      </c>
      <c r="B510" s="2" t="str">
        <f>=HYPERLINK("https://pan.quark.cn/s/f0cbd16c0af5", "https://pan.quark.cn/s/f0cbd16c0af5")</f>
        <v>https://pan.quark.cn/s/f0cbd16c0af5</v>
      </c>
      <c r="C510" t="inlineStr">
        <is>
          <t>8.4M</t>
        </is>
      </c>
      <c r="D510" t="inlineStr">
        <is>
          <t>/阅读/每日一练/3年级/K12/学龄儿童家长</t>
        </is>
      </c>
      <c r="E510" t="inlineStr">
        <is>
          <t>https://dcn8qexvg13r.feishu.cn/share/base/query/shrcnMqxwwRkV3NUIUxPeab3sec</t>
        </is>
      </c>
      <c r="F510" t="inlineStr">
        <is>
          <t>请添加微信：k846211</t>
        </is>
      </c>
      <c r="G510" t="inlineStr">
        <is>
          <t>2025-11-17</t>
        </is>
      </c>
    </row>
    <row r="511" ht="25.5" customHeight="1">
      <c r="A511" t="inlineStr">
        <is>
          <t>一本阅读4年级《每日一练》</t>
        </is>
      </c>
      <c r="B511" s="2" t="str">
        <f>=HYPERLINK("https://pan.quark.cn/s/073d36c6331e", "https://pan.quark.cn/s/073d36c6331e")</f>
        <v>https://pan.quark.cn/s/073d36c6331e</v>
      </c>
      <c r="C511" t="inlineStr">
        <is>
          <t>6.9M</t>
        </is>
      </c>
      <c r="D511" t="inlineStr">
        <is>
          <t>/阅读/每日练习/四年级/教辅/K12/学龄儿童家长</t>
        </is>
      </c>
      <c r="E511" t="inlineStr">
        <is>
          <t>https://dcn8qexvg13r.feishu.cn/share/base/query/shrcnMqxwwRkV3NUIUxPeab3sec</t>
        </is>
      </c>
      <c r="F511" t="inlineStr">
        <is>
          <t>请添加微信：k846211</t>
        </is>
      </c>
      <c r="G511" t="inlineStr">
        <is>
          <t>2025-11-17</t>
        </is>
      </c>
    </row>
    <row r="512" ht="25.5" customHeight="1">
      <c r="A512" t="inlineStr">
        <is>
          <t>一本阅读5年级《每日一练》</t>
        </is>
      </c>
      <c r="B512" s="2" t="str">
        <f>=HYPERLINK("https://pan.quark.cn/s/8262c3125242", "https://pan.quark.cn/s/8262c3125242")</f>
        <v>https://pan.quark.cn/s/8262c3125242</v>
      </c>
      <c r="C512" t="inlineStr">
        <is>
          <t>4.6M</t>
        </is>
      </c>
      <c r="D512" t="inlineStr">
        <is>
          <t>/阅读/每日一练/五年级/K12/学龄儿童家长</t>
        </is>
      </c>
      <c r="E512" t="inlineStr">
        <is>
          <t>https://dcn8qexvg13r.feishu.cn/share/base/query/shrcnMqxwwRkV3NUIUxPeab3sec</t>
        </is>
      </c>
      <c r="F512" t="inlineStr">
        <is>
          <t>请添加微信：k846211</t>
        </is>
      </c>
      <c r="G512" t="inlineStr">
        <is>
          <t>2025-11-17</t>
        </is>
      </c>
    </row>
    <row r="513" ht="25.5" customHeight="1">
      <c r="A513" t="inlineStr">
        <is>
          <t>一本阅读6年级《每日一练》</t>
        </is>
      </c>
      <c r="B513" s="2" t="str">
        <f>=HYPERLINK("https://pan.quark.cn/s/dacab83664e4", "https://pan.quark.cn/s/dacab83664e4")</f>
        <v>https://pan.quark.cn/s/dacab83664e4</v>
      </c>
      <c r="C513" t="inlineStr">
        <is>
          <t>8M</t>
        </is>
      </c>
      <c r="D513" t="inlineStr">
        <is>
          <t>/阅读/每日一练/六年级/K12/学龄儿童家长</t>
        </is>
      </c>
      <c r="E513" t="inlineStr">
        <is>
          <t>https://dcn8qexvg13r.feishu.cn/share/base/query/shrcnMqxwwRkV3NUIUxPeab3sec</t>
        </is>
      </c>
      <c r="F513" t="inlineStr">
        <is>
          <t>请添加微信：k846211</t>
        </is>
      </c>
      <c r="G513" t="inlineStr">
        <is>
          <t>2025-11-17</t>
        </is>
      </c>
    </row>
    <row r="514" ht="25.5" customHeight="1">
      <c r="A514" t="inlineStr">
        <is>
          <t>25新一上语文每日词语默写单（20页）(1).pdf</t>
        </is>
      </c>
      <c r="B514" s="2" t="str">
        <f>=HYPERLINK("https://pan.quark.cn/s/88428cd4e812", "https://pan.quark.cn/s/88428cd4e812")</f>
        <v>https://pan.quark.cn/s/88428cd4e812</v>
      </c>
      <c r="C514" t="inlineStr">
        <is>
          <t>10.1M</t>
        </is>
      </c>
      <c r="D514" t="inlineStr">
        <is>
          <t>/小学语文/词语默写/每日练习/新一上/学龄儿童家长/K12</t>
        </is>
      </c>
      <c r="E514" t="inlineStr">
        <is>
          <t>https://dcn8qexvg13r.feishu.cn/share/base/query/shrcnMqxwwRkV3NUIUxPeab3sec</t>
        </is>
      </c>
      <c r="F514" t="inlineStr">
        <is>
          <t>请添加微信：k846211</t>
        </is>
      </c>
      <c r="G514" t="inlineStr">
        <is>
          <t>2025-11-17</t>
        </is>
      </c>
    </row>
    <row r="515" ht="25.5" customHeight="1">
      <c r="A515" t="inlineStr">
        <is>
          <t>二年级语文上册 每日默写单(基础知识默写单)(1)(1).pdf</t>
        </is>
      </c>
      <c r="B515" s="2" t="str">
        <f>=HYPERLINK("https://pan.quark.cn/s/98360e278058", "https://pan.quark.cn/s/98360e278058")</f>
        <v>https://pan.quark.cn/s/98360e278058</v>
      </c>
      <c r="C515" t="inlineStr">
        <is>
          <t>2.6M</t>
        </is>
      </c>
      <c r="D515" t="inlineStr">
        <is>
          <t>/二年级语文/默写单/基础知识/语文上册/K12/学龄儿童家长</t>
        </is>
      </c>
      <c r="E515" t="inlineStr">
        <is>
          <t>https://dcn8qexvg13r.feishu.cn/share/base/query/shrcnMqxwwRkV3NUIUxPeab3sec</t>
        </is>
      </c>
      <c r="F515" t="inlineStr">
        <is>
          <t>请添加微信：k846211</t>
        </is>
      </c>
      <c r="G515" t="inlineStr">
        <is>
          <t>2025-11-17</t>
        </is>
      </c>
    </row>
    <row r="516" ht="25.5" customHeight="1">
      <c r="A516" t="inlineStr">
        <is>
          <t>三年级语文上册 每日默写单(基础知识默写单)(1)(1).pdf</t>
        </is>
      </c>
      <c r="B516" s="2" t="str">
        <f>=HYPERLINK("https://pan.quark.cn/s/bf6a8bdadbe3", "https://pan.quark.cn/s/bf6a8bdadbe3")</f>
        <v>https://pan.quark.cn/s/bf6a8bdadbe3</v>
      </c>
      <c r="C516" t="inlineStr">
        <is>
          <t>1.7M</t>
        </is>
      </c>
      <c r="D516" t="inlineStr">
        <is>
          <t>/三年级语文/默写单/基础知识/每日练习/K12/学龄儿童家长</t>
        </is>
      </c>
      <c r="E516" t="inlineStr">
        <is>
          <t>https://dcn8qexvg13r.feishu.cn/share/base/query/shrcnMqxwwRkV3NUIUxPeab3sec</t>
        </is>
      </c>
      <c r="F516" t="inlineStr">
        <is>
          <t>请添加微信：k846211</t>
        </is>
      </c>
      <c r="G516" t="inlineStr">
        <is>
          <t>2025-11-17</t>
        </is>
      </c>
    </row>
    <row r="517" ht="25.5" customHeight="1">
      <c r="A517" t="inlineStr">
        <is>
          <t>四年级语文上册 每日默写单(基础知识默写单)(1)(1).pdf</t>
        </is>
      </c>
      <c r="B517" s="2" t="str">
        <f>=HYPERLINK("https://pan.quark.cn/s/5ab019091351", "https://pan.quark.cn/s/5ab019091351")</f>
        <v>https://pan.quark.cn/s/5ab019091351</v>
      </c>
      <c r="C517" t="inlineStr">
        <is>
          <t>10.9M</t>
        </is>
      </c>
      <c r="D517" t="inlineStr">
        <is>
          <t>/四年级语文/默写单/基础知识/每日练习/K12/学龄儿童家长</t>
        </is>
      </c>
      <c r="E517" t="inlineStr">
        <is>
          <t>https://dcn8qexvg13r.feishu.cn/share/base/query/shrcnMqxwwRkV3NUIUxPeab3sec</t>
        </is>
      </c>
      <c r="F517" t="inlineStr">
        <is>
          <t>请添加微信：k846211</t>
        </is>
      </c>
      <c r="G517" t="inlineStr">
        <is>
          <t>2025-11-17</t>
        </is>
      </c>
    </row>
    <row r="518" ht="25.5" customHeight="1">
      <c r="A518" t="inlineStr">
        <is>
          <t>五年级语文上册 每日默写单(基础知识默写单)(1)(1).pdf</t>
        </is>
      </c>
      <c r="B518" s="2" t="str">
        <f>=HYPERLINK("https://pan.quark.cn/s/55407f084953", "https://pan.quark.cn/s/55407f084953")</f>
        <v>https://pan.quark.cn/s/55407f084953</v>
      </c>
      <c r="C518" t="inlineStr">
        <is>
          <t>10.7M</t>
        </is>
      </c>
      <c r="D518" t="inlineStr">
        <is>
          <t>/五年级语文/基础知识/默写单/每日练习/K12/学龄儿童家长</t>
        </is>
      </c>
      <c r="E518" t="inlineStr">
        <is>
          <t>https://dcn8qexvg13r.feishu.cn/share/base/query/shrcnMqxwwRkV3NUIUxPeab3sec</t>
        </is>
      </c>
      <c r="F518" t="inlineStr">
        <is>
          <t>请添加微信：k846211</t>
        </is>
      </c>
      <c r="G518" t="inlineStr">
        <is>
          <t>2025-11-17</t>
        </is>
      </c>
    </row>
    <row r="519" ht="25.5" customHeight="1">
      <c r="A519" t="inlineStr">
        <is>
          <t>六上语文1-8单元基础知识默写单(1).pdf</t>
        </is>
      </c>
      <c r="B519" s="2" t="str">
        <f>=HYPERLINK("https://pan.quark.cn/s/f84ce2201d0f", "https://pan.quark.cn/s/f84ce2201d0f")</f>
        <v>https://pan.quark.cn/s/f84ce2201d0f</v>
      </c>
      <c r="C519" t="inlineStr">
        <is>
          <t>1.9M</t>
        </is>
      </c>
      <c r="D519" t="inlineStr">
        <is>
          <t>/六上语文/基础知识/默写单/单元练习/K12/学龄儿童家长</t>
        </is>
      </c>
      <c r="E519" t="inlineStr">
        <is>
          <t>https://dcn8qexvg13r.feishu.cn/share/base/query/shrcnMqxwwRkV3NUIUxPeab3sec</t>
        </is>
      </c>
      <c r="F519" t="inlineStr">
        <is>
          <t>请添加微信：k846211</t>
        </is>
      </c>
      <c r="G519" t="inlineStr">
        <is>
          <t>2025-11-17</t>
        </is>
      </c>
    </row>
    <row r="520" ht="25.5" customHeight="1">
      <c r="A520" t="inlineStr">
        <is>
          <t>🍎⭐️期中知识汇总语文25年上册(2)</t>
        </is>
      </c>
      <c r="B520" s="2" t="str">
        <f>=HYPERLINK("https://pan.quark.cn/s/a049cdf7fa08", "https://pan.quark.cn/s/a049cdf7fa08")</f>
        <v>https://pan.quark.cn/s/a049cdf7fa08</v>
      </c>
      <c r="C520" t="inlineStr">
        <is>
          <t>478.2M</t>
        </is>
      </c>
      <c r="D520" t="inlineStr">
        <is>
          <t>/语文/期中/知识汇总/2025上册/K12/学龄儿童家长</t>
        </is>
      </c>
      <c r="E520" t="inlineStr">
        <is>
          <t>https://dcn8qexvg13r.feishu.cn/share/base/query/shrcnMqxwwRkV3NUIUxPeab3sec</t>
        </is>
      </c>
      <c r="F520" t="inlineStr">
        <is>
          <t>请添加微信：k846211</t>
        </is>
      </c>
      <c r="G520" t="inlineStr">
        <is>
          <t>2025-11-17</t>
        </is>
      </c>
    </row>
    <row r="521" ht="25.5" customHeight="1">
      <c r="A521" t="inlineStr">
        <is>
          <t>少年得到.爆笑中国历史1-4 动画</t>
        </is>
      </c>
      <c r="B521" s="2" t="str">
        <f>=HYPERLINK("https://pan.quark.cn/s/ad4148d888af", "https://pan.quark.cn/s/ad4148d888af")</f>
        <v>https://pan.quark.cn/s/ad4148d888af</v>
      </c>
      <c r="C521" t="inlineStr">
        <is>
          <t>6.9G</t>
        </is>
      </c>
      <c r="D521" t="inlineStr">
        <is>
          <t>/中国历史/动画/爆笑/少年/K12/学龄儿童家长</t>
        </is>
      </c>
      <c r="E521" t="inlineStr">
        <is>
          <t>https://dcn8qexvg13r.feishu.cn/share/base/query/shrcnMqxwwRkV3NUIUxPeab3sec</t>
        </is>
      </c>
      <c r="F521" t="inlineStr">
        <is>
          <t>请添加微信：k846211</t>
        </is>
      </c>
      <c r="G521" t="inlineStr">
        <is>
          <t>2025-11-19</t>
        </is>
      </c>
    </row>
    <row r="522" ht="25.5" customHeight="1">
      <c r="A522" t="inlineStr">
        <is>
          <t>22-庄重读书会</t>
        </is>
      </c>
      <c r="B522" s="2" t="str">
        <f>=HYPERLINK("https://pan.quark.cn/s/466096cc1694", "https://pan.quark.cn/s/466096cc1694")</f>
        <v>https://pan.quark.cn/s/466096cc1694</v>
      </c>
      <c r="C522" t="inlineStr">
        <is>
          <t>201.6G</t>
        </is>
      </c>
      <c r="D522" t="inlineStr">
        <is>
          <t>/读书会/庄重/阅读/知识分享/白领/管理者</t>
        </is>
      </c>
      <c r="E522" t="inlineStr">
        <is>
          <t>https://dcn8qexvg13r.feishu.cn/share/base/query/shrcnMqxwwRkV3NUIUxPeab3sec</t>
        </is>
      </c>
      <c r="F522" t="inlineStr">
        <is>
          <t>请添加微信：k846211</t>
        </is>
      </c>
      <c r="G522" t="inlineStr">
        <is>
          <t>2025-11-19</t>
        </is>
      </c>
    </row>
    <row r="523" ht="25.5" customHeight="1">
      <c r="A523" t="inlineStr">
        <is>
          <t>🍎2025IHC希望数学培训100题1年级试题+答案</t>
        </is>
      </c>
      <c r="B523" s="2" t="str">
        <f>=HYPERLINK("https://pan.quark.cn/s/17bbf5f8af3f", "https://pan.quark.cn/s/17bbf5f8af3f")</f>
        <v>https://pan.quark.cn/s/17bbf5f8af3f</v>
      </c>
      <c r="C523" t="inlineStr">
        <is>
          <t>6.7M</t>
        </is>
      </c>
      <c r="D523" t="inlineStr">
        <is>
          <t>/2025IHC希望数学/1年级试题/1年级答案/数学培训/K12/学龄儿童家长</t>
        </is>
      </c>
      <c r="E523" t="inlineStr">
        <is>
          <t>https://dcn8qexvg13r.feishu.cn/share/base/query/shrcnMqxwwRkV3NUIUxPeab3sec</t>
        </is>
      </c>
      <c r="F523" t="inlineStr">
        <is>
          <t>请添加微信：k846211</t>
        </is>
      </c>
      <c r="G523" t="inlineStr">
        <is>
          <t>2025-11-19</t>
        </is>
      </c>
    </row>
    <row r="524" ht="25.5" customHeight="1">
      <c r="A524" t="inlineStr">
        <is>
          <t>🍎2025IHC希望数学培训100题2年级试题+答案</t>
        </is>
      </c>
      <c r="B524" s="2" t="str">
        <f>=HYPERLINK("https://pan.quark.cn/s/b33de77b0c02", "https://pan.quark.cn/s/b33de77b0c02")</f>
        <v>https://pan.quark.cn/s/b33de77b0c02</v>
      </c>
      <c r="C524" t="inlineStr">
        <is>
          <t>7.2M</t>
        </is>
      </c>
      <c r="D524" t="inlineStr">
        <is>
          <t>/2025IHC希望数学/二年级/培训题/试题+答案/K12/学龄儿童家长</t>
        </is>
      </c>
      <c r="E524" t="inlineStr">
        <is>
          <t>https://dcn8qexvg13r.feishu.cn/share/base/query/shrcnMqxwwRkV3NUIUxPeab3sec</t>
        </is>
      </c>
      <c r="F524" t="inlineStr">
        <is>
          <t>请添加微信：k846211</t>
        </is>
      </c>
      <c r="G524" t="inlineStr">
        <is>
          <t>2025-11-19</t>
        </is>
      </c>
    </row>
    <row r="525" ht="25.5" customHeight="1">
      <c r="A525" t="inlineStr">
        <is>
          <t>🍎2025IHC希望数学培训100题3年级试题+答案</t>
        </is>
      </c>
      <c r="B525" s="2" t="str">
        <f>=HYPERLINK("https://pan.quark.cn/s/8e7d00121914", "https://pan.quark.cn/s/8e7d00121914")</f>
        <v>https://pan.quark.cn/s/8e7d00121914</v>
      </c>
      <c r="C525" t="inlineStr">
        <is>
          <t>5.6M</t>
        </is>
      </c>
      <c r="D525" t="inlineStr">
        <is>
          <t>/2025IHC希望数学/3年级/培训100题/试题+答案/K12/学龄儿童家长</t>
        </is>
      </c>
      <c r="E525" t="inlineStr">
        <is>
          <t>https://dcn8qexvg13r.feishu.cn/share/base/query/shrcnMqxwwRkV3NUIUxPeab3sec</t>
        </is>
      </c>
      <c r="F525" t="inlineStr">
        <is>
          <t>请添加微信：k846211</t>
        </is>
      </c>
      <c r="G525" t="inlineStr">
        <is>
          <t>2025-11-19</t>
        </is>
      </c>
    </row>
    <row r="526" ht="25.5" customHeight="1">
      <c r="A526" t="inlineStr">
        <is>
          <t>🍎2025IHC希望数学培训100题4年级试题+答案</t>
        </is>
      </c>
      <c r="B526" s="2" t="str">
        <f>=HYPERLINK("https://pan.quark.cn/s/07ed0d765300", "https://pan.quark.cn/s/07ed0d765300")</f>
        <v>https://pan.quark.cn/s/07ed0d765300</v>
      </c>
      <c r="C526" t="inlineStr">
        <is>
          <t>5.8M</t>
        </is>
      </c>
      <c r="D526" t="inlineStr">
        <is>
          <t>/2025IHC希望数学/4年级/培训100题/试题+答案/K12/学龄儿童家长</t>
        </is>
      </c>
      <c r="E526" t="inlineStr">
        <is>
          <t>https://dcn8qexvg13r.feishu.cn/share/base/query/shrcnMqxwwRkV3NUIUxPeab3sec</t>
        </is>
      </c>
      <c r="F526" t="inlineStr">
        <is>
          <t>请添加微信：k846211</t>
        </is>
      </c>
      <c r="G526" t="inlineStr">
        <is>
          <t>2025-11-19</t>
        </is>
      </c>
    </row>
    <row r="527" ht="25.5" customHeight="1">
      <c r="A527" t="inlineStr">
        <is>
          <t>🍎2025IHC希望数学培训100题5年级试题+答案</t>
        </is>
      </c>
      <c r="B527" s="2" t="str">
        <f>=HYPERLINK("https://pan.quark.cn/s/9e7541651580", "https://pan.quark.cn/s/9e7541651580")</f>
        <v>https://pan.quark.cn/s/9e7541651580</v>
      </c>
      <c r="C527" t="inlineStr">
        <is>
          <t>6.4M</t>
        </is>
      </c>
      <c r="D527" t="inlineStr">
        <is>
          <t>/2025IHC希望数学/5年级/培训100题/试题+答案/K12/学龄儿童家长</t>
        </is>
      </c>
      <c r="E527" t="inlineStr">
        <is>
          <t>https://dcn8qexvg13r.feishu.cn/share/base/query/shrcnMqxwwRkV3NUIUxPeab3sec</t>
        </is>
      </c>
      <c r="F527" t="inlineStr">
        <is>
          <t>请添加微信：k846211</t>
        </is>
      </c>
      <c r="G527" t="inlineStr">
        <is>
          <t>2025-11-19</t>
        </is>
      </c>
    </row>
    <row r="528" ht="25.5" customHeight="1">
      <c r="A528" t="inlineStr">
        <is>
          <t>🍎2025IHC希望数学培训100题6年级试题+答案</t>
        </is>
      </c>
      <c r="B528" s="2" t="str">
        <f>=HYPERLINK("https://pan.quark.cn/s/bcc8d56c5302", "https://pan.quark.cn/s/bcc8d56c5302")</f>
        <v>https://pan.quark.cn/s/bcc8d56c5302</v>
      </c>
      <c r="C528" t="inlineStr">
        <is>
          <t>6.2M</t>
        </is>
      </c>
      <c r="D528" t="inlineStr">
        <is>
          <t>/2025IHC希望数学/6年级/培训100题/试题+答案/K12/学龄儿童家长</t>
        </is>
      </c>
      <c r="E528" t="inlineStr">
        <is>
          <t>https://dcn8qexvg13r.feishu.cn/share/base/query/shrcnMqxwwRkV3NUIUxPeab3sec</t>
        </is>
      </c>
      <c r="F528" t="inlineStr">
        <is>
          <t>请添加微信：k846211</t>
        </is>
      </c>
      <c r="G528" t="inlineStr">
        <is>
          <t>2025-11-19</t>
        </is>
      </c>
    </row>
    <row r="529" ht="25.5" customHeight="1">
      <c r="A529" t="inlineStr">
        <is>
          <t>🍎2025IHC希望数学培训100题7年级试题+答案</t>
        </is>
      </c>
      <c r="B529" s="2" t="str">
        <f>=HYPERLINK("https://pan.quark.cn/s/f4e0851c23dd", "https://pan.quark.cn/s/f4e0851c23dd")</f>
        <v>https://pan.quark.cn/s/f4e0851c23dd</v>
      </c>
      <c r="C529" t="inlineStr">
        <is>
          <t>5.7M</t>
        </is>
      </c>
      <c r="D529" t="inlineStr">
        <is>
          <t>/2025IHC希望数学/7年级/培训100题/试题+答案/K12/学龄儿童家长</t>
        </is>
      </c>
      <c r="E529" t="inlineStr">
        <is>
          <t>https://dcn8qexvg13r.feishu.cn/share/base/query/shrcnMqxwwRkV3NUIUxPeab3sec</t>
        </is>
      </c>
      <c r="F529" t="inlineStr">
        <is>
          <t>请添加微信：k846211</t>
        </is>
      </c>
      <c r="G529" t="inlineStr">
        <is>
          <t>2025-11-19</t>
        </is>
      </c>
    </row>
    <row r="530" ht="25.5" customHeight="1">
      <c r="A530" t="inlineStr">
        <is>
          <t>🍎2025IHC希望数学培训100题8年级试题+答案</t>
        </is>
      </c>
      <c r="B530" s="2" t="str">
        <f>=HYPERLINK("https://pan.quark.cn/s/bed6fc23ad8c", "https://pan.quark.cn/s/bed6fc23ad8c")</f>
        <v>https://pan.quark.cn/s/bed6fc23ad8c</v>
      </c>
      <c r="C530" t="inlineStr">
        <is>
          <t>6.4M</t>
        </is>
      </c>
      <c r="D530" t="inlineStr">
        <is>
          <t>/2025IHC希望数学/8年级/培训100题/试题+答案/K12/学龄儿童家长</t>
        </is>
      </c>
      <c r="E530" t="inlineStr">
        <is>
          <t>https://dcn8qexvg13r.feishu.cn/share/base/query/shrcnMqxwwRkV3NUIUxPeab3sec</t>
        </is>
      </c>
      <c r="F530" t="inlineStr">
        <is>
          <t>请添加微信：k846211</t>
        </is>
      </c>
      <c r="G530" t="inlineStr">
        <is>
          <t>2025-11-19</t>
        </is>
      </c>
    </row>
    <row r="531" ht="25.5" customHeight="1">
      <c r="A531" t="inlineStr">
        <is>
          <t>25秋 苏教数学《王朝霞考点梳理时习卷》1上</t>
        </is>
      </c>
      <c r="B531" s="2" t="str">
        <f>=HYPERLINK("https://pan.quark.cn/s/dafb13b33ef7", "https://pan.quark.cn/s/dafb13b33ef7")</f>
        <v>https://pan.quark.cn/s/dafb13b33ef7</v>
      </c>
      <c r="C531" t="inlineStr">
        <is>
          <t>224.3M</t>
        </is>
      </c>
      <c r="D531" t="inlineStr">
        <is>
          <t>/小学数学/苏教版/考点梳理/王朝霞/1年级上册/K12/学龄儿童家长</t>
        </is>
      </c>
      <c r="E531" t="inlineStr">
        <is>
          <t>https://dcn8qexvg13r.feishu.cn/share/base/query/shrcnMqxwwRkV3NUIUxPeab3sec</t>
        </is>
      </c>
      <c r="F531" t="inlineStr">
        <is>
          <t>请添加微信：k846211</t>
        </is>
      </c>
      <c r="G531" t="inlineStr">
        <is>
          <t>2025-11-19</t>
        </is>
      </c>
    </row>
    <row r="532" ht="25.5" customHeight="1">
      <c r="A532" t="inlineStr">
        <is>
          <t>25秋 苏教数学《王朝霞考点梳理时习卷》2上</t>
        </is>
      </c>
      <c r="B532" s="2" t="str">
        <f>=HYPERLINK("https://pan.quark.cn/s/e1f80ba88ddc", "https://pan.quark.cn/s/e1f80ba88ddc")</f>
        <v>https://pan.quark.cn/s/e1f80ba88ddc</v>
      </c>
      <c r="C532" t="inlineStr">
        <is>
          <t>116.8M</t>
        </is>
      </c>
      <c r="D532" t="inlineStr">
        <is>
          <t>/苏教数学/考点梳理/时习卷/2年级上册/K12/学龄儿童家长</t>
        </is>
      </c>
      <c r="E532" t="inlineStr">
        <is>
          <t>https://dcn8qexvg13r.feishu.cn/share/base/query/shrcnMqxwwRkV3NUIUxPeab3sec</t>
        </is>
      </c>
      <c r="F532" t="inlineStr">
        <is>
          <t>请添加微信：k846211</t>
        </is>
      </c>
      <c r="G532" t="inlineStr">
        <is>
          <t>2025-11-19</t>
        </is>
      </c>
    </row>
    <row r="533" ht="25.5" customHeight="1">
      <c r="A533" t="inlineStr">
        <is>
          <t>25秋 苏教数学《王朝霞考点梳理时习卷》3上</t>
        </is>
      </c>
      <c r="B533" s="2" t="str">
        <f>=HYPERLINK("https://pan.quark.cn/s/aa7e325102a5", "https://pan.quark.cn/s/aa7e325102a5")</f>
        <v>https://pan.quark.cn/s/aa7e325102a5</v>
      </c>
      <c r="C533" t="inlineStr">
        <is>
          <t>269.1M</t>
        </is>
      </c>
      <c r="D533" t="inlineStr">
        <is>
          <t>/苏教数学/考点梳理/时习卷/三年级上册/K12/学龄儿童家长</t>
        </is>
      </c>
      <c r="E533" t="inlineStr">
        <is>
          <t>https://dcn8qexvg13r.feishu.cn/share/base/query/shrcnMqxwwRkV3NUIUxPeab3sec</t>
        </is>
      </c>
      <c r="F533" t="inlineStr">
        <is>
          <t>请添加微信：k846211</t>
        </is>
      </c>
      <c r="G533" t="inlineStr">
        <is>
          <t>2025-11-19</t>
        </is>
      </c>
    </row>
    <row r="534" ht="25.5" customHeight="1">
      <c r="A534" t="inlineStr">
        <is>
          <t>25秋 苏教数学《王朝霞考点梳理时习卷》4上</t>
        </is>
      </c>
      <c r="B534" s="2" t="str">
        <f>=HYPERLINK("https://pan.quark.cn/s/f8877047f7ec", "https://pan.quark.cn/s/f8877047f7ec")</f>
        <v>https://pan.quark.cn/s/f8877047f7ec</v>
      </c>
      <c r="C534" t="inlineStr">
        <is>
          <t>237.3M</t>
        </is>
      </c>
      <c r="D534" t="inlineStr">
        <is>
          <t>/苏教数学/考点梳理/时习卷/四年级上册/K12/学龄儿童家长</t>
        </is>
      </c>
      <c r="E534" t="inlineStr">
        <is>
          <t>https://dcn8qexvg13r.feishu.cn/share/base/query/shrcnMqxwwRkV3NUIUxPeab3sec</t>
        </is>
      </c>
      <c r="F534" t="inlineStr">
        <is>
          <t>请添加微信：k846211</t>
        </is>
      </c>
      <c r="G534" t="inlineStr">
        <is>
          <t>2025-11-19</t>
        </is>
      </c>
    </row>
    <row r="535" ht="25.5" customHeight="1">
      <c r="A535" t="inlineStr">
        <is>
          <t>25秋 苏教数学《王朝霞考点梳理时习卷》5上</t>
        </is>
      </c>
      <c r="B535" s="2" t="str">
        <f>=HYPERLINK("https://pan.quark.cn/s/7e43c8c07582", "https://pan.quark.cn/s/7e43c8c07582")</f>
        <v>https://pan.quark.cn/s/7e43c8c07582</v>
      </c>
      <c r="C535" t="inlineStr">
        <is>
          <t>293.9M</t>
        </is>
      </c>
      <c r="D535" t="inlineStr">
        <is>
          <t>/苏教数学/考点梳理/时习卷/5年级上册/K12/学龄儿童家长</t>
        </is>
      </c>
      <c r="E535" t="inlineStr">
        <is>
          <t>https://dcn8qexvg13r.feishu.cn/share/base/query/shrcnMqxwwRkV3NUIUxPeab3sec</t>
        </is>
      </c>
      <c r="F535" t="inlineStr">
        <is>
          <t>请添加微信：k846211</t>
        </is>
      </c>
      <c r="G535" t="inlineStr">
        <is>
          <t>2025-11-19</t>
        </is>
      </c>
    </row>
    <row r="536" ht="25.5" customHeight="1">
      <c r="A536" t="inlineStr">
        <is>
          <t>25秋 苏教数学《王朝霞考点梳理时习卷》6上</t>
        </is>
      </c>
      <c r="B536" s="2" t="str">
        <f>=HYPERLINK("https://pan.quark.cn/s/69dec2ba7f74", "https://pan.quark.cn/s/69dec2ba7f74")</f>
        <v>https://pan.quark.cn/s/69dec2ba7f74</v>
      </c>
      <c r="C536" t="inlineStr">
        <is>
          <t>260.1M</t>
        </is>
      </c>
      <c r="D536" t="inlineStr">
        <is>
          <t>/小学数学/考点梳理/时习卷/苏教版/K12/学龄儿童家长</t>
        </is>
      </c>
      <c r="E536" t="inlineStr">
        <is>
          <t>https://dcn8qexvg13r.feishu.cn/share/base/query/shrcnMqxwwRkV3NUIUxPeab3sec</t>
        </is>
      </c>
      <c r="F536" t="inlineStr">
        <is>
          <t>请添加微信：k846211</t>
        </is>
      </c>
      <c r="G536" t="inlineStr">
        <is>
          <t>2025-11-19</t>
        </is>
      </c>
    </row>
    <row r="537" ht="25.5" customHeight="1">
      <c r="A537" t="inlineStr">
        <is>
          <t>🔥🔥🔥 《学而思剑桥英语单词天天练》每天7分钟，轻松记单词</t>
        </is>
      </c>
      <c r="B537" s="2" t="str">
        <f>=HYPERLINK("https://pan.quark.cn/s/bdbca9f88f34", "https://pan.quark.cn/s/bdbca9f88f34")</f>
        <v>https://pan.quark.cn/s/bdbca9f88f34</v>
      </c>
      <c r="C537" t="inlineStr">
        <is>
          <t>3.9G</t>
        </is>
      </c>
      <c r="D537" t="inlineStr">
        <is>
          <t>/剑桥英语/单词练习/天天练/7分钟/K12/学龄儿童家长</t>
        </is>
      </c>
      <c r="E537" t="inlineStr">
        <is>
          <t>https://dcn8qexvg13r.feishu.cn/share/base/query/shrcnMqxwwRkV3NUIUxPeab3sec</t>
        </is>
      </c>
      <c r="F537" t="inlineStr">
        <is>
          <t>请添加微信：k846211</t>
        </is>
      </c>
      <c r="G537" t="inlineStr">
        <is>
          <t>2025-11-21</t>
        </is>
      </c>
    </row>
    <row r="538" ht="25.5" customHeight="1">
      <c r="A538" t="inlineStr">
        <is>
          <t>🔥🔥雅思旗舰VIP直达7分班</t>
        </is>
      </c>
      <c r="B538" s="2" t="str">
        <f>=HYPERLINK("https://pan.quark.cn/s/9d839fd0b0b1", "https://pan.quark.cn/s/9d839fd0b0b1")</f>
        <v>https://pan.quark.cn/s/9d839fd0b0b1</v>
      </c>
      <c r="C538" t="inlineStr">
        <is>
          <t>37.4G</t>
        </is>
      </c>
      <c r="D538" t="inlineStr">
        <is>
          <t>/雅思/旗舰VIP/直达7分/语言/大学生/考研/考公/考证党</t>
        </is>
      </c>
      <c r="E538" t="inlineStr">
        <is>
          <t>https://dcn8qexvg13r.feishu.cn/share/base/query/shrcnMqxwwRkV3NUIUxPeab3sec</t>
        </is>
      </c>
      <c r="F538" t="inlineStr">
        <is>
          <t>请添加微信：k846211</t>
        </is>
      </c>
      <c r="G538" t="inlineStr">
        <is>
          <t>2025-11-21</t>
        </is>
      </c>
    </row>
    <row r="539" ht="25.5" customHeight="1">
      <c r="A539" t="inlineStr">
        <is>
          <t>2000+的口语星球精讲课程</t>
        </is>
      </c>
      <c r="B539" s="2" t="str">
        <f>=HYPERLINK("https://pan.quark.cn/s/4e0f4c84135b", "https://pan.quark.cn/s/4e0f4c84135b")</f>
        <v>https://pan.quark.cn/s/4e0f4c84135b</v>
      </c>
      <c r="C539" t="inlineStr">
        <is>
          <t>81.5G</t>
        </is>
      </c>
      <c r="D539" t="inlineStr">
        <is>
          <t>/口语/课程/精讲/K12/语言</t>
        </is>
      </c>
      <c r="E539" t="inlineStr">
        <is>
          <t>https://dcn8qexvg13r.feishu.cn/share/base/query/shrcnMqxwwRkV3NUIUxPeab3sec</t>
        </is>
      </c>
      <c r="F539" t="inlineStr">
        <is>
          <t>请添加微信：k846211</t>
        </is>
      </c>
      <c r="G539" t="inlineStr">
        <is>
          <t>2025-11-21</t>
        </is>
      </c>
    </row>
    <row r="540" ht="25.5" customHeight="1">
      <c r="A540" t="inlineStr">
        <is>
          <t>小红书超火的英语扩句300篇，视频+音频+PDF(1)</t>
        </is>
      </c>
      <c r="B540" s="2" t="str">
        <f>=HYPERLINK("https://pan.quark.cn/s/c873fe49420c", "https://pan.quark.cn/s/c873fe49420c")</f>
        <v>https://pan.quark.cn/s/c873fe49420c</v>
      </c>
      <c r="C540" t="inlineStr">
        <is>
          <t>1.3G</t>
        </is>
      </c>
      <c r="D540" t="inlineStr">
        <is>
          <t>/英语扩句/视频/音频/PDF/语言/K12/宝妈/家长群体</t>
        </is>
      </c>
      <c r="E540" t="inlineStr">
        <is>
          <t>https://dcn8qexvg13r.feishu.cn/share/base/query/shrcnMqxwwRkV3NUIUxPeab3sec</t>
        </is>
      </c>
      <c r="F540" t="inlineStr">
        <is>
          <t>请添加微信：k846211</t>
        </is>
      </c>
      <c r="G540" t="inlineStr">
        <is>
          <t>2025-11-21</t>
        </is>
      </c>
    </row>
    <row r="541" ht="25.5" customHeight="1">
      <c r="A541" t="inlineStr">
        <is>
          <t>每日英语小短文初阶（100篇）(1)</t>
        </is>
      </c>
      <c r="B541" s="2" t="str">
        <f>=HYPERLINK("https://pan.quark.cn/s/d59e888e95a9", "https://pan.quark.cn/s/d59e888e95a9")</f>
        <v>https://pan.quark.cn/s/d59e888e95a9</v>
      </c>
      <c r="C541" t="inlineStr">
        <is>
          <t>1.2G</t>
        </is>
      </c>
      <c r="D541" t="inlineStr">
        <is>
          <t>/英语/短文/初阶/语言/学龄儿童家长/K12</t>
        </is>
      </c>
      <c r="E541" t="inlineStr">
        <is>
          <t>https://dcn8qexvg13r.feishu.cn/share/base/query/shrcnMqxwwRkV3NUIUxPeab3sec</t>
        </is>
      </c>
      <c r="F541" t="inlineStr">
        <is>
          <t>请添加微信：k846211</t>
        </is>
      </c>
      <c r="G541" t="inlineStr">
        <is>
          <t>2025-11-21</t>
        </is>
      </c>
    </row>
    <row r="542" ht="25.5" customHeight="1">
      <c r="A542" t="inlineStr">
        <is>
          <t>[太阳]抖音超火 雪梨老师自然拼读系类</t>
        </is>
      </c>
      <c r="B542" s="2" t="str">
        <f>=HYPERLINK("https://pan.quark.cn/s/825454d52e50", "https://pan.quark.cn/s/825454d52e50")</f>
        <v>https://pan.quark.cn/s/825454d52e50</v>
      </c>
      <c r="C542" t="inlineStr">
        <is>
          <t>21G</t>
        </is>
      </c>
      <c r="D542" t="inlineStr">
        <is>
          <t>/自然拼读/抖音/雪梨老师/英语启蒙/宝妈/家长群体/学龄儿童家长</t>
        </is>
      </c>
      <c r="E542" t="inlineStr">
        <is>
          <t>https://dcn8qexvg13r.feishu.cn/share/base/query/shrcnMqxwwRkV3NUIUxPeab3sec</t>
        </is>
      </c>
      <c r="F542" t="inlineStr">
        <is>
          <t>请添加微信：k846211</t>
        </is>
      </c>
      <c r="G542" t="inlineStr">
        <is>
          <t>2025-11-21</t>
        </is>
      </c>
    </row>
    <row r="543" ht="25.5" customHeight="1">
      <c r="A543" t="inlineStr">
        <is>
          <t>各大优秀老师的自然拼读课程2025</t>
        </is>
      </c>
      <c r="B543" s="2" t="str">
        <f>=HYPERLINK("https://pan.quark.cn/s/663e1ed55f0a", "https://pan.quark.cn/s/663e1ed55f0a")</f>
        <v>https://pan.quark.cn/s/663e1ed55f0a</v>
      </c>
      <c r="C543" t="inlineStr">
        <is>
          <t>47.4G</t>
        </is>
      </c>
      <c r="D543" t="inlineStr">
        <is>
          <t>/自然拼读/课程/英语学习/优秀老师/K12/学龄儿童家长</t>
        </is>
      </c>
      <c r="E543" t="inlineStr">
        <is>
          <t>https://dcn8qexvg13r.feishu.cn/share/base/query/shrcnMqxwwRkV3NUIUxPeab3sec</t>
        </is>
      </c>
      <c r="F543" t="inlineStr">
        <is>
          <t>请添加微信：k846211</t>
        </is>
      </c>
      <c r="G543" t="inlineStr">
        <is>
          <t>2025-11-21</t>
        </is>
      </c>
    </row>
    <row r="544" ht="25.5" customHeight="1">
      <c r="A544" t="inlineStr">
        <is>
          <t>汤小团漫游中国历史系列</t>
        </is>
      </c>
      <c r="B544" s="2" t="str">
        <f>=HYPERLINK("https://pan.quark.cn/s/7e79b1f0a0bb", "https://pan.quark.cn/s/7e79b1f0a0bb")</f>
        <v>https://pan.quark.cn/s/7e79b1f0a0bb</v>
      </c>
      <c r="C544" t="inlineStr">
        <is>
          <t>7.3G</t>
        </is>
      </c>
      <c r="D544" t="inlineStr">
        <is>
          <t>/中国历史/儿童文学/知识漫游/汤小团/K12/学龄儿童家长</t>
        </is>
      </c>
      <c r="E544" t="inlineStr">
        <is>
          <t>https://dcn8qexvg13r.feishu.cn/share/base/query/shrcnMqxwwRkV3NUIUxPeab3sec</t>
        </is>
      </c>
      <c r="F544" t="inlineStr">
        <is>
          <t>请添加微信：k846211</t>
        </is>
      </c>
      <c r="G544" t="inlineStr">
        <is>
          <t>2025-11-21</t>
        </is>
      </c>
    </row>
    <row r="545" ht="25.5" customHeight="1">
      <c r="A545" t="inlineStr">
        <is>
          <t>熊大叔讲文史</t>
        </is>
      </c>
      <c r="B545" s="2" t="str">
        <f>=HYPERLINK("https://pan.quark.cn/s/385823f2d830", "https://pan.quark.cn/s/385823f2d830")</f>
        <v>https://pan.quark.cn/s/385823f2d830</v>
      </c>
      <c r="C545" t="inlineStr">
        <is>
          <t>9.1G</t>
        </is>
      </c>
      <c r="D545" t="inlineStr">
        <is>
          <t>/文史/讲解/历史/文化/宝妈/家长群体/学龄儿童家长</t>
        </is>
      </c>
      <c r="E545" t="inlineStr">
        <is>
          <t>https://dcn8qexvg13r.feishu.cn/share/base/query/shrcnMqxwwRkV3NUIUxPeab3sec</t>
        </is>
      </c>
      <c r="F545" t="inlineStr">
        <is>
          <t>请添加微信：k846211</t>
        </is>
      </c>
      <c r="G545" t="inlineStr">
        <is>
          <t>2025-11-21</t>
        </is>
      </c>
    </row>
    <row r="546" ht="25.5" customHeight="1">
      <c r="A546" t="inlineStr">
        <is>
          <t>爆笑中国历史</t>
        </is>
      </c>
      <c r="B546" s="2" t="str">
        <f>=HYPERLINK("https://pan.quark.cn/s/44e1e7d8fd21", "https://pan.quark.cn/s/44e1e7d8fd21")</f>
        <v>https://pan.quark.cn/s/44e1e7d8fd21</v>
      </c>
      <c r="C546" t="inlineStr">
        <is>
          <t>6.9G</t>
        </is>
      </c>
      <c r="D546" t="inlineStr">
        <is>
          <t>/中国历史/爆笑/科普/娱乐/K12/学龄儿童家长</t>
        </is>
      </c>
      <c r="E546" t="inlineStr">
        <is>
          <t>https://dcn8qexvg13r.feishu.cn/share/base/query/shrcnMqxwwRkV3NUIUxPeab3sec</t>
        </is>
      </c>
      <c r="F546" t="inlineStr">
        <is>
          <t>请添加微信：k846211</t>
        </is>
      </c>
      <c r="G546" t="inlineStr">
        <is>
          <t>2025-11-21</t>
        </is>
      </c>
    </row>
    <row r="547" ht="25.5" customHeight="1">
      <c r="A547" t="inlineStr">
        <is>
          <t>如果历史是一群喵</t>
        </is>
      </c>
      <c r="B547" s="2" t="str">
        <f>=HYPERLINK("https://pan.quark.cn/s/6b19d8d66784", "https://pan.quark.cn/s/6b19d8d66784")</f>
        <v>https://pan.quark.cn/s/6b19d8d66784</v>
      </c>
      <c r="C547" t="inlineStr">
        <is>
          <t>36.6G</t>
        </is>
      </c>
      <c r="D547" t="inlineStr">
        <is>
          <t>/历史/喵星人/动画/科普/学龄儿童家长/动漫</t>
        </is>
      </c>
      <c r="E547" t="inlineStr">
        <is>
          <t>https://dcn8qexvg13r.feishu.cn/share/base/query/shrcnMqxwwRkV3NUIUxPeab3sec</t>
        </is>
      </c>
      <c r="F547" t="inlineStr">
        <is>
          <t>请添加微信：k846211</t>
        </is>
      </c>
      <c r="G547" t="inlineStr">
        <is>
          <t>2025-11-21</t>
        </is>
      </c>
    </row>
    <row r="548" ht="25.5" customHeight="1">
      <c r="A548" t="inlineStr">
        <is>
          <t>01.英语-【Shelley老师】剑桥 power up LeveL 1精讲课【源视频】</t>
        </is>
      </c>
      <c r="B548" s="2" t="str">
        <f>=HYPERLINK("https://pan.quark.cn/s/134862770c70", "https://pan.quark.cn/s/134862770c70")</f>
        <v>https://pan.quark.cn/s/134862770c70</v>
      </c>
      <c r="C548" t="inlineStr">
        <is>
          <t>26.4G</t>
        </is>
      </c>
      <c r="D548" t="inlineStr">
        <is>
          <t>/英语/剑桥Power Up Level 1/精讲课/视频/K12/学龄儿童家长</t>
        </is>
      </c>
      <c r="E548" t="inlineStr">
        <is>
          <t>https://dcn8qexvg13r.feishu.cn/share/base/query/shrcnMqxwwRkV3NUIUxPeab3sec</t>
        </is>
      </c>
      <c r="F548" t="inlineStr">
        <is>
          <t>请添加微信：k846211</t>
        </is>
      </c>
      <c r="G548" t="inlineStr">
        <is>
          <t>2025-11-23</t>
        </is>
      </c>
    </row>
    <row r="549" ht="25.5" customHeight="1">
      <c r="A549" t="inlineStr">
        <is>
          <t>【A098】土豆逗大话语文1~6年级上册全</t>
        </is>
      </c>
      <c r="B549" s="2" t="str">
        <f>=HYPERLINK("https://pan.quark.cn/s/71106bdea41b", "https://pan.quark.cn/s/71106bdea41b")</f>
        <v>https://pan.quark.cn/s/71106bdea41b</v>
      </c>
      <c r="C549" t="inlineStr">
        <is>
          <t>8.1G</t>
        </is>
      </c>
      <c r="D549" t="inlineStr">
        <is>
          <t>/土豆逗/大话语文/1~6年级上册/语文学习/K12/学龄儿童家长</t>
        </is>
      </c>
      <c r="E549" t="inlineStr">
        <is>
          <t>https://dcn8qexvg13r.feishu.cn/share/base/query/shrcnMqxwwRkV3NUIUxPeab3sec</t>
        </is>
      </c>
      <c r="F549" t="inlineStr">
        <is>
          <t>请添加微信：k846211</t>
        </is>
      </c>
      <c r="G549" t="inlineStr">
        <is>
          <t>2025-11-23</t>
        </is>
      </c>
    </row>
    <row r="550" ht="25.5" customHeight="1">
      <c r="A550" t="inlineStr">
        <is>
          <t>31112新三上语文1-8单元课内阅读理解专项（含答案23页）(1).pdf</t>
        </is>
      </c>
      <c r="B550" s="2" t="str">
        <f>=HYPERLINK("https://pan.quark.cn/s/374a63d1b5c2", "https://pan.quark.cn/s/374a63d1b5c2")</f>
        <v>https://pan.quark.cn/s/374a63d1b5c2</v>
      </c>
      <c r="C550" t="inlineStr">
        <is>
          <t>5.6M</t>
        </is>
      </c>
      <c r="D550" t="inlineStr">
        <is>
          <t>/新三上语文/课内阅读理解/专项练习/含答案/K12/学龄儿童家长</t>
        </is>
      </c>
      <c r="E550" t="inlineStr">
        <is>
          <t>https://dcn8qexvg13r.feishu.cn/share/base/query/shrcnMqxwwRkV3NUIUxPeab3sec</t>
        </is>
      </c>
      <c r="F550" t="inlineStr">
        <is>
          <t>请添加微信：k846211</t>
        </is>
      </c>
      <c r="G550" t="inlineStr">
        <is>
          <t>2025-11-24</t>
        </is>
      </c>
    </row>
    <row r="551" ht="25.5" customHeight="1">
      <c r="A551" t="inlineStr">
        <is>
          <t>41112【1-8单元阅读知识考点及答题格式】四上语文(1).pdf</t>
        </is>
      </c>
      <c r="B551" s="2" t="str">
        <f>=HYPERLINK("https://pan.quark.cn/s/87b17179234e", "https://pan.quark.cn/s/87b17179234e")</f>
        <v>https://pan.quark.cn/s/87b17179234e</v>
      </c>
      <c r="C551" t="inlineStr">
        <is>
          <t>790.9K</t>
        </is>
      </c>
      <c r="D551" t="inlineStr">
        <is>
          <t>/四年级上册语文/阅读知识考点/答题格式/语文学习/K12/学龄儿童家长</t>
        </is>
      </c>
      <c r="E551" t="inlineStr">
        <is>
          <t>https://dcn8qexvg13r.feishu.cn/share/base/query/shrcnMqxwwRkV3NUIUxPeab3sec</t>
        </is>
      </c>
      <c r="F551" t="inlineStr">
        <is>
          <t>请添加微信：k846211</t>
        </is>
      </c>
      <c r="G551" t="inlineStr">
        <is>
          <t>2025-11-24</t>
        </is>
      </c>
    </row>
    <row r="552" ht="25.5" customHeight="1">
      <c r="A552" t="inlineStr">
        <is>
          <t>51112五上语文课内阅读理解小纸条（含答案14页）(1).pdf</t>
        </is>
      </c>
      <c r="B552" s="2" t="str">
        <f>=HYPERLINK("https://pan.quark.cn/s/01ccc9c9fceb", "https://pan.quark.cn/s/01ccc9c9fceb")</f>
        <v>https://pan.quark.cn/s/01ccc9c9fceb</v>
      </c>
      <c r="C552" t="inlineStr">
        <is>
          <t>1M</t>
        </is>
      </c>
      <c r="D552" t="inlineStr">
        <is>
          <t>/五年级上册/语文/课内阅读理解/含答案/K12/学龄儿童家长</t>
        </is>
      </c>
      <c r="E552" t="inlineStr">
        <is>
          <t>https://dcn8qexvg13r.feishu.cn/share/base/query/shrcnMqxwwRkV3NUIUxPeab3sec</t>
        </is>
      </c>
      <c r="F552" t="inlineStr">
        <is>
          <t>请添加微信：k846211</t>
        </is>
      </c>
      <c r="G552" t="inlineStr">
        <is>
          <t>2025-11-24</t>
        </is>
      </c>
    </row>
    <row r="553" ht="25.5" customHeight="1">
      <c r="A553" t="inlineStr">
        <is>
          <t>简小知280节系统课程+简小知280节课电子字帖</t>
        </is>
      </c>
      <c r="B553" s="2" t="str">
        <f>=HYPERLINK("https://pan.quark.cn/s/e1f74a955e17", "https://pan.quark.cn/s/e1f74a955e17")</f>
        <v>https://pan.quark.cn/s/e1f74a955e17</v>
      </c>
      <c r="C553" t="inlineStr">
        <is>
          <t>60.5G</t>
        </is>
      </c>
      <c r="D553" t="inlineStr">
        <is>
          <t>/简小知/系统课程/电子字帖/学习资源/学龄儿童家长/K12</t>
        </is>
      </c>
      <c r="E553" t="inlineStr">
        <is>
          <t>https://dcn8qexvg13r.feishu.cn/share/base/query/shrcnMqxwwRkV3NUIUxPeab3sec</t>
        </is>
      </c>
      <c r="F553" t="inlineStr">
        <is>
          <t>请添加微信：k846211</t>
        </is>
      </c>
      <c r="G553" t="inlineStr">
        <is>
          <t>2025-11-24</t>
        </is>
      </c>
    </row>
    <row r="554" ht="25.5" customHeight="1">
      <c r="A554" t="inlineStr">
        <is>
          <t>零基础7天行楷书法速成(1)</t>
        </is>
      </c>
      <c r="B554" s="2" t="str">
        <f>=HYPERLINK("https://pan.quark.cn/s/5ddadc51500b", "https://pan.quark.cn/s/5ddadc51500b")</f>
        <v>https://pan.quark.cn/s/5ddadc51500b</v>
      </c>
      <c r="C554" t="inlineStr">
        <is>
          <t>5G</t>
        </is>
      </c>
      <c r="D554" t="inlineStr">
        <is>
          <t>行楷/书法/速成/技能入门/技能入门</t>
        </is>
      </c>
      <c r="E554" t="inlineStr">
        <is>
          <t>https://dcn8qexvg13r.feishu.cn/share/base/query/shrcnMqxwwRkV3NUIUxPeab3sec</t>
        </is>
      </c>
      <c r="F554" t="inlineStr">
        <is>
          <t>请添加微信：k846211</t>
        </is>
      </c>
      <c r="G554" t="inlineStr">
        <is>
          <t>2025-11-24</t>
        </is>
      </c>
    </row>
    <row r="555" ht="25.5" customHeight="1">
      <c r="A555" t="inlineStr">
        <is>
          <t>58 硬笔书法 【完结】(1)</t>
        </is>
      </c>
      <c r="B555" s="2" t="str">
        <f>=HYPERLINK("https://pan.quark.cn/s/557804fb27dc", "https://pan.quark.cn/s/557804fb27dc")</f>
        <v>https://pan.quark.cn/s/557804fb27dc</v>
      </c>
      <c r="C555" t="inlineStr">
        <is>
          <t>3.5G</t>
        </is>
      </c>
      <c r="D555" t="inlineStr">
        <is>
          <t>/硬笔书法/完结课程/技能入门/宝妈/家长群体/学龄儿童家长</t>
        </is>
      </c>
      <c r="E555" t="inlineStr">
        <is>
          <t>https://dcn8qexvg13r.feishu.cn/share/base/query/shrcnMqxwwRkV3NUIUxPeab3sec</t>
        </is>
      </c>
      <c r="F555" t="inlineStr">
        <is>
          <t>请添加微信：k846211</t>
        </is>
      </c>
      <c r="G555" t="inlineStr">
        <is>
          <t>2025-11-24</t>
        </is>
      </c>
    </row>
    <row r="556" ht="25.5" customHeight="1">
      <c r="A556" t="inlineStr">
        <is>
          <t>160款硬笔书法比赛作品纸</t>
        </is>
      </c>
      <c r="B556" s="2" t="str">
        <f>=HYPERLINK("https://pan.quark.cn/s/9d1eb5ea2d3c", "https://pan.quark.cn/s/9d1eb5ea2d3c")</f>
        <v>https://pan.quark.cn/s/9d1eb5ea2d3c</v>
      </c>
      <c r="C556" t="inlineStr">
        <is>
          <t>38M</t>
        </is>
      </c>
      <c r="D556" t="inlineStr">
        <is>
          <t>/硬笔书法/比赛作品纸/书法练习/K12/特定行业从业者</t>
        </is>
      </c>
      <c r="E556" t="inlineStr">
        <is>
          <t>https://dcn8qexvg13r.feishu.cn/share/base/query/shrcnMqxwwRkV3NUIUxPeab3sec</t>
        </is>
      </c>
      <c r="F556" t="inlineStr">
        <is>
          <t>请添加微信：k846211</t>
        </is>
      </c>
      <c r="G556" t="inlineStr">
        <is>
          <t>2025-11-24</t>
        </is>
      </c>
    </row>
    <row r="557" ht="25.5" customHeight="1">
      <c r="A557" t="inlineStr">
        <is>
          <t>部编语文1-6年级楷书练字帖5000常用字</t>
        </is>
      </c>
      <c r="B557" s="2" t="str">
        <f>=HYPERLINK("https://pan.quark.cn/s/e83b413d0bb9", "https://pan.quark.cn/s/e83b413d0bb9")</f>
        <v>https://pan.quark.cn/s/e83b413d0bb9</v>
      </c>
      <c r="C557" t="inlineStr">
        <is>
          <t>20.9M</t>
        </is>
      </c>
      <c r="D557" t="inlineStr">
        <is>
          <t>/楷书/练字帖/常用字/语文/学龄儿童家长/K12</t>
        </is>
      </c>
      <c r="E557" t="inlineStr">
        <is>
          <t>https://dcn8qexvg13r.feishu.cn/share/base/query/shrcnMqxwwRkV3NUIUxPeab3sec</t>
        </is>
      </c>
      <c r="F557" t="inlineStr">
        <is>
          <t>请添加微信：k846211</t>
        </is>
      </c>
      <c r="G557" t="inlineStr">
        <is>
          <t>2025-11-24</t>
        </is>
      </c>
    </row>
    <row r="558" ht="25.5" customHeight="1">
      <c r="A558" t="inlineStr">
        <is>
          <t>田章英间架结构硬笔书法(1)</t>
        </is>
      </c>
      <c r="B558" s="2" t="str">
        <f>=HYPERLINK("https://pan.quark.cn/s/d0b0277e862b", "https://pan.quark.cn/s/d0b0277e862b")</f>
        <v>https://pan.quark.cn/s/d0b0277e862b</v>
      </c>
      <c r="C558" t="inlineStr">
        <is>
          <t>207.5M</t>
        </is>
      </c>
      <c r="D558" t="inlineStr">
        <is>
          <t>/间架结构/硬笔书法/书法练习/田章英/K12/学龄儿童家长</t>
        </is>
      </c>
      <c r="E558" t="inlineStr">
        <is>
          <t>https://dcn8qexvg13r.feishu.cn/share/base/query/shrcnMqxwwRkV3NUIUxPeab3sec</t>
        </is>
      </c>
      <c r="F558" t="inlineStr">
        <is>
          <t>请添加微信：k846211</t>
        </is>
      </c>
      <c r="G558" t="inlineStr">
        <is>
          <t>2025-11-24</t>
        </is>
      </c>
    </row>
    <row r="559" ht="25.5" customHeight="1">
      <c r="A559" t="inlineStr">
        <is>
          <t>小学生硬笔书法课程(2)</t>
        </is>
      </c>
      <c r="B559" s="2" t="str">
        <f>=HYPERLINK("https://pan.quark.cn/s/eca1fc361efe", "https://pan.quark.cn/s/eca1fc361efe")</f>
        <v>https://pan.quark.cn/s/eca1fc361efe</v>
      </c>
      <c r="C559" t="inlineStr">
        <is>
          <t>7.1G</t>
        </is>
      </c>
      <c r="D559" t="inlineStr">
        <is>
          <t>/小学生/硬笔书法/课程/技能入门/K12/学龄儿童家长</t>
        </is>
      </c>
      <c r="E559" t="inlineStr">
        <is>
          <t>https://dcn8qexvg13r.feishu.cn/share/base/query/shrcnMqxwwRkV3NUIUxPeab3sec</t>
        </is>
      </c>
      <c r="F559" t="inlineStr">
        <is>
          <t>请添加微信：k846211</t>
        </is>
      </c>
      <c r="G559" t="inlineStr">
        <is>
          <t>2025-11-24</t>
        </is>
      </c>
    </row>
    <row r="560" ht="25.5" customHeight="1">
      <c r="A560" t="inlineStr">
        <is>
          <t>常爸硬笔书法启蒙课字帖-16周全(1)</t>
        </is>
      </c>
      <c r="B560" s="2" t="str">
        <f>=HYPERLINK("https://pan.quark.cn/s/031a6889a4ef", "https://pan.quark.cn/s/031a6889a4ef")</f>
        <v>https://pan.quark.cn/s/031a6889a4ef</v>
      </c>
      <c r="C560" t="inlineStr">
        <is>
          <t>12.1M</t>
        </is>
      </c>
      <c r="D560" t="inlineStr">
        <is>
          <t>/硬笔书法/启蒙课/字帖/16周/K12/学龄儿童家长</t>
        </is>
      </c>
      <c r="E560" t="inlineStr">
        <is>
          <t>https://dcn8qexvg13r.feishu.cn/share/base/query/shrcnMqxwwRkV3NUIUxPeab3sec</t>
        </is>
      </c>
      <c r="F560" t="inlineStr">
        <is>
          <t>请添加微信：k846211</t>
        </is>
      </c>
      <c r="G560" t="inlineStr">
        <is>
          <t>2025-11-24</t>
        </is>
      </c>
    </row>
    <row r="561" ht="25.5" customHeight="1">
      <c r="A561" t="inlineStr">
        <is>
          <t>四上丨科学 知识点梳理+单元试卷（教科版）.pdf</t>
        </is>
      </c>
      <c r="B561" s="2" t="str">
        <f>=HYPERLINK("https://pan.quark.cn/s/e20e172f2abe", "https://pan.quark.cn/s/e20e172f2abe")</f>
        <v>https://pan.quark.cn/s/e20e172f2abe</v>
      </c>
      <c r="C561" t="inlineStr">
        <is>
          <t>23.5M</t>
        </is>
      </c>
      <c r="D561" t="inlineStr">
        <is>
          <t>/科学/知识点梳理/单元试卷/教科版/K12/学龄儿童家长</t>
        </is>
      </c>
      <c r="E561" t="inlineStr">
        <is>
          <t>https://dcn8qexvg13r.feishu.cn/share/base/query/shrcnMqxwwRkV3NUIUxPeab3sec</t>
        </is>
      </c>
      <c r="F561" t="inlineStr">
        <is>
          <t>请添加微信：k846211</t>
        </is>
      </c>
      <c r="G561" t="inlineStr">
        <is>
          <t>2025-11-24</t>
        </is>
      </c>
    </row>
    <row r="562" ht="25.5" customHeight="1">
      <c r="A562" t="inlineStr">
        <is>
          <t>四川省绵阳市2024-2025学年高一上学期11月学生学业发展指导（文化学科）测评数学试题  Word版无答案.docx</t>
        </is>
      </c>
      <c r="B562" s="2" t="str">
        <f>=HYPERLINK("https://pan.quark.cn/s/0c8608d64d1f", "https://pan.quark.cn/s/0c8608d64d1f")</f>
        <v>https://pan.quark.cn/s/0c8608d64d1f</v>
      </c>
      <c r="C562" t="inlineStr">
        <is>
          <t>243K</t>
        </is>
      </c>
      <c r="D562" t="inlineStr">
        <is>
          <t>/高一数学/11月测评/学业发展指导/Word版/K12/学龄儿童家长</t>
        </is>
      </c>
      <c r="E562" t="inlineStr">
        <is>
          <t>https://dcn8qexvg13r.feishu.cn/share/base/query/shrcnMqxwwRkV3NUIUxPeab3sec</t>
        </is>
      </c>
      <c r="F562" t="inlineStr">
        <is>
          <t>请添加微信：k846211</t>
        </is>
      </c>
      <c r="G562" t="inlineStr">
        <is>
          <t>2025-11-24</t>
        </is>
      </c>
    </row>
    <row r="563" ht="25.5" customHeight="1">
      <c r="A563" t="inlineStr">
        <is>
          <t>四川省绵阳市2024-2025学年高一上学期11月学生学业发展指导（文化学科）测评数学试题  Word版含解析.docx</t>
        </is>
      </c>
      <c r="B563" s="2" t="str">
        <f>=HYPERLINK("https://pan.quark.cn/s/79adcda16649", "https://pan.quark.cn/s/79adcda16649")</f>
        <v>https://pan.quark.cn/s/79adcda16649</v>
      </c>
      <c r="C563" t="inlineStr">
        <is>
          <t>682.5K</t>
        </is>
      </c>
      <c r="D563" t="inlineStr">
        <is>
          <t>/高一数学/11月测评/Word版含解析/学业发展指导/K12/学龄儿童家长</t>
        </is>
      </c>
      <c r="E563" t="inlineStr">
        <is>
          <t>https://dcn8qexvg13r.feishu.cn/share/base/query/shrcnMqxwwRkV3NUIUxPeab3sec</t>
        </is>
      </c>
      <c r="F563" t="inlineStr">
        <is>
          <t>请添加微信：k846211</t>
        </is>
      </c>
      <c r="G563" t="inlineStr">
        <is>
          <t>2025-11-24</t>
        </is>
      </c>
    </row>
    <row r="564" ht="25.5" customHeight="1">
      <c r="A564" t="inlineStr">
        <is>
          <t>25秋《一本15天期末考前冲刺卷》人教数学1-6</t>
        </is>
      </c>
      <c r="B564" s="2" t="str">
        <f>=HYPERLINK("https://pan.quark.cn/s/ca91734b8991", "https://pan.quark.cn/s/ca91734b8991")</f>
        <v>https://pan.quark.cn/s/ca91734b8991</v>
      </c>
      <c r="C564" t="inlineStr">
        <is>
          <t>241.4M</t>
        </is>
      </c>
      <c r="D564" t="inlineStr">
        <is>
          <t>/期末冲刺/数学/考前复习/1-6年级/K12/学龄儿童家长</t>
        </is>
      </c>
      <c r="E564" t="inlineStr">
        <is>
          <t>https://dcn8qexvg13r.feishu.cn/share/base/query/shrcnMqxwwRkV3NUIUxPeab3sec</t>
        </is>
      </c>
      <c r="F564" t="inlineStr">
        <is>
          <t>请添加微信：k846211</t>
        </is>
      </c>
      <c r="G564" t="inlineStr">
        <is>
          <t>2025-11-25</t>
        </is>
      </c>
    </row>
    <row r="565" ht="25.5" customHeight="1">
      <c r="A565" t="inlineStr">
        <is>
          <t>图解生活窍门3000例 全彩图解典藏版.pdf</t>
        </is>
      </c>
      <c r="B565" s="2" t="str">
        <f>=HYPERLINK("https://pan.quark.cn/s/41dcdde5b8a1", "https://pan.quark.cn/s/41dcdde5b8a1")</f>
        <v>https://pan.quark.cn/s/41dcdde5b8a1</v>
      </c>
      <c r="C565" t="inlineStr">
        <is>
          <t>115.2M</t>
        </is>
      </c>
      <c r="D565" t="inlineStr">
        <is>
          <t>/生活窍门/全彩图解/实用技巧/家庭生活/宝妈/家长群体</t>
        </is>
      </c>
      <c r="E565" t="inlineStr">
        <is>
          <t>https://dcn8qexvg13r.feishu.cn/share/base/query/shrcnMqxwwRkV3NUIUxPeab3sec</t>
        </is>
      </c>
      <c r="F565" t="inlineStr">
        <is>
          <t>请添加微信：k846211</t>
        </is>
      </c>
      <c r="G565" t="inlineStr">
        <is>
          <t>2025-11-25</t>
        </is>
      </c>
    </row>
    <row r="566" ht="25.5" customHeight="1">
      <c r="A566" t="inlineStr">
        <is>
          <t>370222_英语的平行世界-基础语法.pdf</t>
        </is>
      </c>
      <c r="B566" s="2" t="str">
        <f>=HYPERLINK("https://pan.quark.cn/s/69b700de63b4", "https://pan.quark.cn/s/69b700de63b4")</f>
        <v>https://pan.quark.cn/s/69b700de63b4</v>
      </c>
      <c r="C566" t="inlineStr">
        <is>
          <t>1.1M</t>
        </is>
      </c>
      <c r="D566" t="inlineStr">
        <is>
          <t>/英语/基础语法/平行世界/语法学习/K12/语言</t>
        </is>
      </c>
      <c r="E566" t="inlineStr">
        <is>
          <t>https://dcn8qexvg13r.feishu.cn/share/base/query/shrcnMqxwwRkV3NUIUxPeab3sec</t>
        </is>
      </c>
      <c r="F566" t="inlineStr">
        <is>
          <t>请添加微信：k846211</t>
        </is>
      </c>
      <c r="G566" t="inlineStr">
        <is>
          <t>2025-11-25</t>
        </is>
      </c>
    </row>
    <row r="567" ht="25.5" customHeight="1">
      <c r="A567" t="inlineStr">
        <is>
          <t>20_20双语者计划-英文写作系统训练方法.mp4.mp4</t>
        </is>
      </c>
      <c r="B567" s="2" t="str">
        <f>=HYPERLINK("https://pan.quark.cn/s/b3b4ac220c7d", "https://pan.quark.cn/s/b3b4ac220c7d")</f>
        <v>https://pan.quark.cn/s/b3b4ac220c7d</v>
      </c>
      <c r="C567" t="inlineStr">
        <is>
          <t>45.5M</t>
        </is>
      </c>
      <c r="D567" t="inlineStr">
        <is>
          <t>/英文写作/系统训练/双语学习/视频教程/大学生/语言</t>
        </is>
      </c>
      <c r="E567" t="inlineStr">
        <is>
          <t>https://dcn8qexvg13r.feishu.cn/share/base/query/shrcnMqxwwRkV3NUIUxPeab3sec</t>
        </is>
      </c>
      <c r="F567" t="inlineStr">
        <is>
          <t>请添加微信：k846211</t>
        </is>
      </c>
      <c r="G567" t="inlineStr">
        <is>
          <t>2025-11-25</t>
        </is>
      </c>
    </row>
    <row r="568" ht="25.5" customHeight="1">
      <c r="A568" t="inlineStr">
        <is>
          <t>24年三上英语满分语法专项练习.pdf</t>
        </is>
      </c>
      <c r="B568" s="2" t="str">
        <f>=HYPERLINK("https://pan.quark.cn/s/056d64218f5f", "https://pan.quark.cn/s/056d64218f5f")</f>
        <v>https://pan.quark.cn/s/056d64218f5f</v>
      </c>
      <c r="C568" t="inlineStr">
        <is>
          <t>2.1M</t>
        </is>
      </c>
      <c r="D568" t="inlineStr">
        <is>
          <t>/英语语法/三年级上册/专项练习/满分提升/K12/学龄儿童家长</t>
        </is>
      </c>
      <c r="E568" t="inlineStr">
        <is>
          <t>https://dcn8qexvg13r.feishu.cn/share/base/query/shrcnMqxwwRkV3NUIUxPeab3sec</t>
        </is>
      </c>
      <c r="F568" t="inlineStr">
        <is>
          <t>请添加微信：k846211</t>
        </is>
      </c>
      <c r="G568" t="inlineStr">
        <is>
          <t>2025-11-25</t>
        </is>
      </c>
    </row>
    <row r="569" ht="25.5" customHeight="1">
      <c r="A569" t="inlineStr">
        <is>
          <t>2022年上海市市重点高中自招英语语法单选题题库 (2).docx</t>
        </is>
      </c>
      <c r="B569" s="2" t="str">
        <f>=HYPERLINK("https://pan.quark.cn/s/7c7109418959", "https://pan.quark.cn/s/7c7109418959")</f>
        <v>https://pan.quark.cn/s/7c7109418959</v>
      </c>
      <c r="C569" t="inlineStr">
        <is>
          <t>54.7K</t>
        </is>
      </c>
      <c r="D569" t="inlineStr">
        <is>
          <t>/上海/市重点高中/自招/英语语法/单选题/K12/学龄儿童家长</t>
        </is>
      </c>
      <c r="E569" t="inlineStr">
        <is>
          <t>https://dcn8qexvg13r.feishu.cn/share/base/query/shrcnMqxwwRkV3NUIUxPeab3sec</t>
        </is>
      </c>
      <c r="F569" t="inlineStr">
        <is>
          <t>请添加微信：k846211</t>
        </is>
      </c>
      <c r="G569" t="inlineStr">
        <is>
          <t>2025-11-25</t>
        </is>
      </c>
    </row>
    <row r="570" ht="25.5" customHeight="1">
      <c r="A570" t="inlineStr">
        <is>
          <t>四年级数学上册苏教版25秋《一本课后小练习》.pdf</t>
        </is>
      </c>
      <c r="B570" s="2" t="str">
        <f>=HYPERLINK("https://pan.quark.cn/s/ca71161c61d4", "https://pan.quark.cn/s/ca71161c61d4")</f>
        <v>https://pan.quark.cn/s/ca71161c61d4</v>
      </c>
      <c r="C570" t="inlineStr">
        <is>
          <t>507.1M</t>
        </is>
      </c>
      <c r="D570" t="inlineStr">
        <is>
          <t>/四年级数学/苏教版/课后练习/25秋/一本/K12/学龄儿童家长</t>
        </is>
      </c>
      <c r="E570" t="inlineStr">
        <is>
          <t>https://dcn8qexvg13r.feishu.cn/share/base/query/shrcnMqxwwRkV3NUIUxPeab3sec</t>
        </is>
      </c>
      <c r="F570" t="inlineStr">
        <is>
          <t>请添加微信：k846211</t>
        </is>
      </c>
      <c r="G570" t="inlineStr">
        <is>
          <t>2025-11-26</t>
        </is>
      </c>
    </row>
    <row r="571" ht="25.5" customHeight="1">
      <c r="A571" t="inlineStr">
        <is>
          <t>六神磊磊古诗词一课通</t>
        </is>
      </c>
      <c r="B571" s="2" t="str">
        <f>=HYPERLINK("https://pan.quark.cn/s/26a3245fab31", "https://pan.quark.cn/s/26a3245fab31")</f>
        <v>https://pan.quark.cn/s/26a3245fab31</v>
      </c>
      <c r="C571" t="inlineStr">
        <is>
          <t>22.3G</t>
        </is>
      </c>
      <c r="D571" t="inlineStr">
        <is>
          <t>/古诗词/课程/学习辅导/K12/学龄儿童家长</t>
        </is>
      </c>
      <c r="E571" t="inlineStr">
        <is>
          <t>https://dcn8qexvg13r.feishu.cn/share/base/query/shrcnMqxwwRkV3NUIUxPeab3sec</t>
        </is>
      </c>
      <c r="F571" t="inlineStr">
        <is>
          <t>请添加微信：k846211</t>
        </is>
      </c>
      <c r="G571" t="inlineStr">
        <is>
          <t>2025-11-26</t>
        </is>
      </c>
    </row>
    <row r="572" ht="25.5" customHeight="1">
      <c r="A572" t="inlineStr">
        <is>
          <t>25秋《一本15天期末考前冲刺卷》语文1上.pdf</t>
        </is>
      </c>
      <c r="B572" s="2" t="str">
        <f>=HYPERLINK("https://pan.quark.cn/s/41c57d9ca4c5", "https://pan.quark.cn/s/41c57d9ca4c5")</f>
        <v>https://pan.quark.cn/s/41c57d9ca4c5</v>
      </c>
      <c r="C572" t="inlineStr">
        <is>
          <t>38M</t>
        </is>
      </c>
      <c r="D572" t="inlineStr">
        <is>
          <t>/语文/期末冲刺/考前复习/一年级上册/K12/学龄儿童家长</t>
        </is>
      </c>
      <c r="E572" t="inlineStr">
        <is>
          <t>https://dcn8qexvg13r.feishu.cn/share/base/query/shrcnMqxwwRkV3NUIUxPeab3sec</t>
        </is>
      </c>
      <c r="F572" t="inlineStr">
        <is>
          <t>请添加微信：k846211</t>
        </is>
      </c>
      <c r="G572" t="inlineStr">
        <is>
          <t>2025-11-26</t>
        </is>
      </c>
    </row>
    <row r="573" ht="25.5" customHeight="1">
      <c r="A573" t="inlineStr">
        <is>
          <t>25秋《一本15天期末考前冲刺卷》语文2上.pdf</t>
        </is>
      </c>
      <c r="B573" s="2" t="str">
        <f>=HYPERLINK("https://pan.quark.cn/s/692556eb41ec", "https://pan.quark.cn/s/692556eb41ec")</f>
        <v>https://pan.quark.cn/s/692556eb41ec</v>
      </c>
      <c r="C573" t="inlineStr">
        <is>
          <t>41.6M</t>
        </is>
      </c>
      <c r="D573" t="inlineStr">
        <is>
          <t>/语文/期末冲刺/考前复习/小学二年级/K12/学龄儿童家长</t>
        </is>
      </c>
      <c r="E573" t="inlineStr">
        <is>
          <t>https://dcn8qexvg13r.feishu.cn/share/base/query/shrcnMqxwwRkV3NUIUxPeab3sec</t>
        </is>
      </c>
      <c r="F573" t="inlineStr">
        <is>
          <t>请添加微信：k846211</t>
        </is>
      </c>
      <c r="G573" t="inlineStr">
        <is>
          <t>2025-11-26</t>
        </is>
      </c>
    </row>
    <row r="574" ht="25.5" customHeight="1">
      <c r="A574" t="inlineStr">
        <is>
          <t>25秋《一本15天期末考前冲刺卷》语文3上.pdf</t>
        </is>
      </c>
      <c r="B574" s="2" t="str">
        <f>=HYPERLINK("https://pan.quark.cn/s/c91044cbc0f1", "https://pan.quark.cn/s/c91044cbc0f1")</f>
        <v>https://pan.quark.cn/s/c91044cbc0f1</v>
      </c>
      <c r="C574" t="inlineStr">
        <is>
          <t>52M</t>
        </is>
      </c>
      <c r="D574" t="inlineStr">
        <is>
          <t>/语文/期末冲刺/三年级上册/考前复习/K12/学龄儿童家长</t>
        </is>
      </c>
      <c r="E574" t="inlineStr">
        <is>
          <t>https://dcn8qexvg13r.feishu.cn/share/base/query/shrcnMqxwwRkV3NUIUxPeab3sec</t>
        </is>
      </c>
      <c r="F574" t="inlineStr">
        <is>
          <t>请添加微信：k846211</t>
        </is>
      </c>
      <c r="G574" t="inlineStr">
        <is>
          <t>2025-11-26</t>
        </is>
      </c>
    </row>
    <row r="575" ht="25.5" customHeight="1">
      <c r="A575" t="inlineStr">
        <is>
          <t>25秋《一本15天期末考前冲刺卷》语文4上.pdf</t>
        </is>
      </c>
      <c r="B575" s="2" t="str">
        <f>=HYPERLINK("https://pan.quark.cn/s/96cf724e6e5a", "https://pan.quark.cn/s/96cf724e6e5a")</f>
        <v>https://pan.quark.cn/s/96cf724e6e5a</v>
      </c>
      <c r="C575" t="inlineStr">
        <is>
          <t>51.4M</t>
        </is>
      </c>
      <c r="D575" t="inlineStr">
        <is>
          <t>/语文/四年级上册/期末冲刺/考前复习/K12/学龄儿童家长</t>
        </is>
      </c>
      <c r="E575" t="inlineStr">
        <is>
          <t>https://dcn8qexvg13r.feishu.cn/share/base/query/shrcnMqxwwRkV3NUIUxPeab3sec</t>
        </is>
      </c>
      <c r="F575" t="inlineStr">
        <is>
          <t>请添加微信：k846211</t>
        </is>
      </c>
      <c r="G575" t="inlineStr">
        <is>
          <t>2025-11-26</t>
        </is>
      </c>
    </row>
    <row r="576" ht="25.5" customHeight="1">
      <c r="A576" t="inlineStr">
        <is>
          <t>25秋《一本15天期末考前冲刺卷》语文5上.pdf</t>
        </is>
      </c>
      <c r="B576" s="2" t="str">
        <f>=HYPERLINK("https://pan.quark.cn/s/ceeaa57ca6f0", "https://pan.quark.cn/s/ceeaa57ca6f0")</f>
        <v>https://pan.quark.cn/s/ceeaa57ca6f0</v>
      </c>
      <c r="C576" t="inlineStr">
        <is>
          <t>59.3M</t>
        </is>
      </c>
      <c r="D576" t="inlineStr">
        <is>
          <t>/语文/五年级上册/期末冲刺/考前卷/K12/学龄儿童家长</t>
        </is>
      </c>
      <c r="E576" t="inlineStr">
        <is>
          <t>https://dcn8qexvg13r.feishu.cn/share/base/query/shrcnMqxwwRkV3NUIUxPeab3sec</t>
        </is>
      </c>
      <c r="F576" t="inlineStr">
        <is>
          <t>请添加微信：k846211</t>
        </is>
      </c>
      <c r="G576" t="inlineStr">
        <is>
          <t>2025-11-26</t>
        </is>
      </c>
    </row>
    <row r="577" ht="25.5" customHeight="1">
      <c r="A577" t="inlineStr">
        <is>
          <t>25秋《一本15天期末考前冲刺卷》语文6上.pdf</t>
        </is>
      </c>
      <c r="B577" s="2" t="str">
        <f>=HYPERLINK("https://pan.quark.cn/s/b7d3c6a5656b", "https://pan.quark.cn/s/b7d3c6a5656b")</f>
        <v>https://pan.quark.cn/s/b7d3c6a5656b</v>
      </c>
      <c r="C577" t="inlineStr">
        <is>
          <t>60.3M</t>
        </is>
      </c>
      <c r="D577" t="inlineStr">
        <is>
          <t>/语文/六年级上册/期末冲刺/考前复习/K12/学龄儿童家长</t>
        </is>
      </c>
      <c r="E577" t="inlineStr">
        <is>
          <t>https://dcn8qexvg13r.feishu.cn/share/base/query/shrcnMqxwwRkV3NUIUxPeab3sec</t>
        </is>
      </c>
      <c r="F577" t="inlineStr">
        <is>
          <t>请添加微信：k846211</t>
        </is>
      </c>
      <c r="G577" t="inlineStr">
        <is>
          <t>2025-11-26</t>
        </is>
      </c>
    </row>
    <row r="578" ht="25.5" customHeight="1">
      <c r="A578" t="inlineStr">
        <is>
          <t>25秋《一本15天期末考前冲刺卷》语文6上(1).pdf</t>
        </is>
      </c>
      <c r="B578" s="2" t="str">
        <f>=HYPERLINK("https://pan.quark.cn/s/1d9b75cfdf5e", "https://pan.quark.cn/s/1d9b75cfdf5e")</f>
        <v>https://pan.quark.cn/s/1d9b75cfdf5e</v>
      </c>
      <c r="C578" t="inlineStr">
        <is>
          <t>302.6M</t>
        </is>
      </c>
      <c r="D578" t="inlineStr">
        <is>
          <t>/语文/六年级上册/期末冲刺/考前练习/K12/学龄儿童家长</t>
        </is>
      </c>
      <c r="E578" t="inlineStr">
        <is>
          <t>https://dcn8qexvg13r.feishu.cn/share/base/query/shrcnMqxwwRkV3NUIUxPeab3sec</t>
        </is>
      </c>
      <c r="F578" t="inlineStr">
        <is>
          <t>请添加微信：k846211</t>
        </is>
      </c>
      <c r="G578" t="inlineStr">
        <is>
          <t>2025-11-26</t>
        </is>
      </c>
    </row>
    <row r="579" ht="25.5" customHeight="1">
      <c r="A579" t="inlineStr">
        <is>
          <t>四年级上册英语译林版电子课本.pdf</t>
        </is>
      </c>
      <c r="B579" s="2" t="str">
        <f>=HYPERLINK("https://pan.quark.cn/s/f186241366b6", "https://pan.quark.cn/s/f186241366b6")</f>
        <v>https://pan.quark.cn/s/f186241366b6</v>
      </c>
      <c r="C579" t="inlineStr">
        <is>
          <t>27.1M</t>
        </is>
      </c>
      <c r="D579" t="inlineStr">
        <is>
          <t>/四年级英语/译林版/电子课本/英语学习/K12/学龄儿童家长</t>
        </is>
      </c>
      <c r="E579" t="inlineStr">
        <is>
          <t>https://dcn8qexvg13r.feishu.cn/share/base/query/shrcnMqxwwRkV3NUIUxPeab3sec</t>
        </is>
      </c>
      <c r="F579" t="inlineStr">
        <is>
          <t>请添加微信：k846211</t>
        </is>
      </c>
      <c r="G579" t="inlineStr">
        <is>
          <t>2025-11-26</t>
        </is>
      </c>
    </row>
    <row r="580" ht="25.5" customHeight="1">
      <c r="A580" t="inlineStr">
        <is>
          <t>小学必刷题四年级上册英语译林版答案.pdf</t>
        </is>
      </c>
      <c r="B580" s="2" t="str">
        <f>=HYPERLINK("https://pan.quark.cn/s/4e1951280e35", "https://pan.quark.cn/s/4e1951280e35")</f>
        <v>https://pan.quark.cn/s/4e1951280e35</v>
      </c>
      <c r="C580" t="inlineStr">
        <is>
          <t>14M</t>
        </is>
      </c>
      <c r="D580" t="inlineStr">
        <is>
          <t>/小学英语/四年级上册/译林版/参考答案/K12/学龄儿童家长</t>
        </is>
      </c>
      <c r="E580" t="inlineStr">
        <is>
          <t>https://dcn8qexvg13r.feishu.cn/share/base/query/shrcnMqxwwRkV3NUIUxPeab3sec</t>
        </is>
      </c>
      <c r="F580" t="inlineStr">
        <is>
          <t>请添加微信：k846211</t>
        </is>
      </c>
      <c r="G580" t="inlineStr">
        <is>
          <t>2025-11-26</t>
        </is>
      </c>
    </row>
    <row r="581" ht="25.5" customHeight="1">
      <c r="A581" t="inlineStr">
        <is>
          <t>四上译林版期中达标测评卷.mp3</t>
        </is>
      </c>
      <c r="B581" s="2" t="str">
        <f>=HYPERLINK("https://pan.quark.cn/s/7c26a3b14a18", "https://pan.quark.cn/s/7c26a3b14a18")</f>
        <v>https://pan.quark.cn/s/7c26a3b14a18</v>
      </c>
      <c r="C581" t="inlineStr">
        <is>
          <t>1.3M</t>
        </is>
      </c>
      <c r="D581" t="inlineStr">
        <is>
          <t>/四上/译林版/期中测评/听力/K12/学龄儿童家长</t>
        </is>
      </c>
      <c r="E581" t="inlineStr">
        <is>
          <t>https://dcn8qexvg13r.feishu.cn/share/base/query/shrcnMqxwwRkV3NUIUxPeab3sec</t>
        </is>
      </c>
      <c r="F581" t="inlineStr">
        <is>
          <t>请添加微信：k846211</t>
        </is>
      </c>
      <c r="G581" t="inlineStr">
        <is>
          <t>2025-11-26</t>
        </is>
      </c>
    </row>
    <row r="582" ht="25.5" customHeight="1">
      <c r="A582" t="inlineStr">
        <is>
          <t>译林版英语四年级上册期中测试卷.pdf</t>
        </is>
      </c>
      <c r="B582" s="2" t="str">
        <f>=HYPERLINK("https://pan.quark.cn/s/987d4c059ce8", "https://pan.quark.cn/s/987d4c059ce8")</f>
        <v>https://pan.quark.cn/s/987d4c059ce8</v>
      </c>
      <c r="C582" t="inlineStr">
        <is>
          <t>2.8M</t>
        </is>
      </c>
      <c r="D582" t="inlineStr">
        <is>
          <t>/英语/四年级上册/期中测试/译林版/K12/学龄儿童家长</t>
        </is>
      </c>
      <c r="E582" t="inlineStr">
        <is>
          <t>https://dcn8qexvg13r.feishu.cn/share/base/query/shrcnMqxwwRkV3NUIUxPeab3sec</t>
        </is>
      </c>
      <c r="F582" t="inlineStr">
        <is>
          <t>请添加微信：k846211</t>
        </is>
      </c>
      <c r="G582" t="inlineStr">
        <is>
          <t>2025-11-26</t>
        </is>
      </c>
    </row>
    <row r="583" ht="25.5" customHeight="1">
      <c r="A583" t="inlineStr">
        <is>
          <t>四年级上册尖子生译林英语.pdf</t>
        </is>
      </c>
      <c r="B583" s="2" t="str">
        <f>=HYPERLINK("https://pan.quark.cn/s/b18eb09a34ae", "https://pan.quark.cn/s/b18eb09a34ae")</f>
        <v>https://pan.quark.cn/s/b18eb09a34ae</v>
      </c>
      <c r="C583" t="inlineStr">
        <is>
          <t>15.4M</t>
        </is>
      </c>
      <c r="D583" t="inlineStr">
        <is>
          <t>/四年级上册/译林英语/尖子生/K12/学龄儿童家长</t>
        </is>
      </c>
      <c r="E583" t="inlineStr">
        <is>
          <t>https://dcn8qexvg13r.feishu.cn/share/base/query/shrcnMqxwwRkV3NUIUxPeab3sec</t>
        </is>
      </c>
      <c r="F583" t="inlineStr">
        <is>
          <t>请添加微信：k846211</t>
        </is>
      </c>
      <c r="G583" t="inlineStr">
        <is>
          <t>2025-11-26</t>
        </is>
      </c>
    </row>
    <row r="584" ht="25.5" customHeight="1">
      <c r="A584" t="inlineStr">
        <is>
          <t>四上译林版期中达标测评卷.mp3</t>
        </is>
      </c>
      <c r="B584" s="2" t="str">
        <f>=HYPERLINK("https://pan.quark.cn/s/19054290efba", "https://pan.quark.cn/s/19054290efba")</f>
        <v>https://pan.quark.cn/s/19054290efba</v>
      </c>
      <c r="C584" t="inlineStr">
        <is>
          <t>1.3M</t>
        </is>
      </c>
      <c r="D584" t="inlineStr">
        <is>
          <t>/四上语文/译林版/期中测评/听力资源/K12/学龄儿童家长</t>
        </is>
      </c>
      <c r="E584" t="inlineStr">
        <is>
          <t>https://dcn8qexvg13r.feishu.cn/share/base/query/shrcnMqxwwRkV3NUIUxPeab3sec</t>
        </is>
      </c>
      <c r="F584" t="inlineStr">
        <is>
          <t>请添加微信：k846211</t>
        </is>
      </c>
      <c r="G584" t="inlineStr">
        <is>
          <t>2025-11-26</t>
        </is>
      </c>
    </row>
    <row r="585" ht="25.5" customHeight="1">
      <c r="A585" t="inlineStr">
        <is>
          <t>【译林版英语四上】单元试卷（016份-8份带听力）.zip</t>
        </is>
      </c>
      <c r="B585" s="2" t="str">
        <f>=HYPERLINK("https://pan.quark.cn/s/dff4fe2662fa", "https://pan.quark.cn/s/dff4fe2662fa")</f>
        <v>https://pan.quark.cn/s/dff4fe2662fa</v>
      </c>
      <c r="C585" t="inlineStr">
        <is>
          <t>58M</t>
        </is>
      </c>
      <c r="D585" t="inlineStr">
        <is>
          <t>/译林版英语/四年级上册/单元试卷/听力材料/K12/学龄儿童家长</t>
        </is>
      </c>
      <c r="E585" t="inlineStr">
        <is>
          <t>https://dcn8qexvg13r.feishu.cn/share/base/query/shrcnMqxwwRkV3NUIUxPeab3sec</t>
        </is>
      </c>
      <c r="F585" t="inlineStr">
        <is>
          <t>请添加微信：k846211</t>
        </is>
      </c>
      <c r="G585" t="inlineStr">
        <is>
          <t>2025-11-26</t>
        </is>
      </c>
    </row>
    <row r="586" ht="25.5" customHeight="1">
      <c r="A586" t="inlineStr">
        <is>
          <t>【译林版英语四上】期末试卷（009份带听力）.zip</t>
        </is>
      </c>
      <c r="B586" s="2" t="str">
        <f>=HYPERLINK("https://pan.quark.cn/s/63a681ab31f7", "https://pan.quark.cn/s/63a681ab31f7")</f>
        <v>https://pan.quark.cn/s/63a681ab31f7</v>
      </c>
      <c r="C586" t="inlineStr">
        <is>
          <t>34.8M</t>
        </is>
      </c>
      <c r="D586" t="inlineStr">
        <is>
          <t>/译林版英语/四年级上册/期末试卷/带听力/K12/学龄儿童家长</t>
        </is>
      </c>
      <c r="E586" t="inlineStr">
        <is>
          <t>https://dcn8qexvg13r.feishu.cn/share/base/query/shrcnMqxwwRkV3NUIUxPeab3sec</t>
        </is>
      </c>
      <c r="F586" t="inlineStr">
        <is>
          <t>请添加微信：k846211</t>
        </is>
      </c>
      <c r="G586" t="inlineStr">
        <is>
          <t>2025-11-26</t>
        </is>
      </c>
    </row>
    <row r="587" ht="25.5" customHeight="1">
      <c r="A587" t="inlineStr">
        <is>
          <t>【译林版英语四上】期中试卷（006份-3份带听力）.zip</t>
        </is>
      </c>
      <c r="B587" s="2" t="str">
        <f>=HYPERLINK("https://pan.quark.cn/s/e2a9e53c6a46", "https://pan.quark.cn/s/e2a9e53c6a46")</f>
        <v>https://pan.quark.cn/s/e2a9e53c6a46</v>
      </c>
      <c r="C587" t="inlineStr">
        <is>
          <t>46.6M</t>
        </is>
      </c>
      <c r="D587" t="inlineStr">
        <is>
          <t>/译林版英语/四年级上册/期中试卷/听力/学龄儿童家长/K12</t>
        </is>
      </c>
      <c r="E587" t="inlineStr">
        <is>
          <t>https://dcn8qexvg13r.feishu.cn/share/base/query/shrcnMqxwwRkV3NUIUxPeab3sec</t>
        </is>
      </c>
      <c r="F587" t="inlineStr">
        <is>
          <t>请添加微信：k846211</t>
        </is>
      </c>
      <c r="G587" t="inlineStr">
        <is>
          <t>2025-11-26</t>
        </is>
      </c>
    </row>
    <row r="588" ht="25.5" customHeight="1">
      <c r="A588" t="inlineStr">
        <is>
          <t>三年级上册学习资料</t>
        </is>
      </c>
      <c r="B588" s="2" t="str">
        <f>=HYPERLINK("https://pan.quark.cn/s/a38b56d45889", "https://pan.quark.cn/s/a38b56d45889")</f>
        <v>https://pan.quark.cn/s/a38b56d45889</v>
      </c>
      <c r="C588" t="inlineStr">
        <is>
          <t>322.3M</t>
        </is>
      </c>
      <c r="D588" t="inlineStr">
        <is>
          <t>/三年级/上册/学习/K12/学龄儿童家长</t>
        </is>
      </c>
      <c r="E588" t="inlineStr">
        <is>
          <t>https://dcn8qexvg13r.feishu.cn/share/base/query/shrcnMqxwwRkV3NUIUxPeab3sec</t>
        </is>
      </c>
      <c r="F588" t="inlineStr">
        <is>
          <t>请添加微信：k846211</t>
        </is>
      </c>
      <c r="G588" t="inlineStr">
        <is>
          <t>2025-11-26</t>
        </is>
      </c>
    </row>
    <row r="589" ht="25.5" customHeight="1">
      <c r="A589" t="inlineStr">
        <is>
          <t>三上语文基础默写单（空白版＋答案版）</t>
        </is>
      </c>
      <c r="B589" s="2" t="str">
        <f>=HYPERLINK("https://pan.quark.cn/s/93cb89918de5", "https://pan.quark.cn/s/93cb89918de5")</f>
        <v>https://pan.quark.cn/s/93cb89918de5</v>
      </c>
      <c r="C589" t="inlineStr">
        <is>
          <t>26.1M</t>
        </is>
      </c>
      <c r="D589" t="inlineStr">
        <is>
          <t>/三年级语文/基础默写/空白版/答案版/K12/学龄儿童家长</t>
        </is>
      </c>
      <c r="E589" t="inlineStr">
        <is>
          <t>https://dcn8qexvg13r.feishu.cn/share/base/query/shrcnMqxwwRkV3NUIUxPeab3sec</t>
        </is>
      </c>
      <c r="F589" t="inlineStr">
        <is>
          <t>请添加微信：k846211</t>
        </is>
      </c>
      <c r="G589" t="inlineStr">
        <is>
          <t>2025-11-26</t>
        </is>
      </c>
    </row>
    <row r="590" ht="25.5" customHeight="1">
      <c r="A590" t="inlineStr">
        <is>
          <t>三年级上册语文1-8单元基础默写.pdf</t>
        </is>
      </c>
      <c r="B590" s="2" t="str">
        <f>=HYPERLINK("https://pan.quark.cn/s/f0575b5e05b0", "https://pan.quark.cn/s/f0575b5e05b0")</f>
        <v>https://pan.quark.cn/s/f0575b5e05b0</v>
      </c>
      <c r="C590" t="inlineStr">
        <is>
          <t>2.1M</t>
        </is>
      </c>
      <c r="D590" t="inlineStr">
        <is>
          <t>/三年级语文/基础默写/单元练习/语文默写/K12/学龄儿童家长</t>
        </is>
      </c>
      <c r="E590" t="inlineStr">
        <is>
          <t>https://dcn8qexvg13r.feishu.cn/share/base/query/shrcnMqxwwRkV3NUIUxPeab3sec</t>
        </is>
      </c>
      <c r="F590" t="inlineStr">
        <is>
          <t>请添加微信：k846211</t>
        </is>
      </c>
      <c r="G590" t="inlineStr">
        <is>
          <t>2025-11-26</t>
        </is>
      </c>
    </row>
    <row r="591" ht="25.5" customHeight="1">
      <c r="A591" t="inlineStr">
        <is>
          <t>三上《语文修改病句专项练习》.pdf</t>
        </is>
      </c>
      <c r="B591" s="2" t="str">
        <f>=HYPERLINK("https://pan.quark.cn/s/c7f6b8d8dc3a", "https://pan.quark.cn/s/c7f6b8d8dc3a")</f>
        <v>https://pan.quark.cn/s/c7f6b8d8dc3a</v>
      </c>
      <c r="C591" t="inlineStr">
        <is>
          <t>179.8K</t>
        </is>
      </c>
      <c r="D591" t="inlineStr">
        <is>
          <t>/三年级上册/语文/修改病句/专项练习/K12/学龄儿童家长</t>
        </is>
      </c>
      <c r="E591" t="inlineStr">
        <is>
          <t>https://dcn8qexvg13r.feishu.cn/share/base/query/shrcnMqxwwRkV3NUIUxPeab3sec</t>
        </is>
      </c>
      <c r="F591" t="inlineStr">
        <is>
          <t>请添加微信：k846211</t>
        </is>
      </c>
      <c r="G591" t="inlineStr">
        <is>
          <t>2025-11-26</t>
        </is>
      </c>
    </row>
    <row r="592" ht="25.5" customHeight="1">
      <c r="A592" t="inlineStr">
        <is>
          <t>新三上数学曹冲称象的故事（质量单位）考点专项训练（含答案20页）.pdf</t>
        </is>
      </c>
      <c r="B592" s="2" t="str">
        <f>=HYPERLINK("https://pan.quark.cn/s/2acebe1eed04", "https://pan.quark.cn/s/2acebe1eed04")</f>
        <v>https://pan.quark.cn/s/2acebe1eed04</v>
      </c>
      <c r="C592" t="inlineStr">
        <is>
          <t>938.1K</t>
        </is>
      </c>
      <c r="D592" t="inlineStr">
        <is>
          <t>/新三上数学/曹冲称象/质量单位/考点专项训练/K12/学龄儿童家长</t>
        </is>
      </c>
      <c r="E592" t="inlineStr">
        <is>
          <t>https://dcn8qexvg13r.feishu.cn/share/base/query/shrcnMqxwwRkV3NUIUxPeab3sec</t>
        </is>
      </c>
      <c r="F592" t="inlineStr">
        <is>
          <t>请添加微信：k846211</t>
        </is>
      </c>
      <c r="G592" t="inlineStr">
        <is>
          <t>2025-11-26</t>
        </is>
      </c>
    </row>
    <row r="593" ht="25.5" customHeight="1">
      <c r="A593" t="inlineStr">
        <is>
          <t>【小学生优秀有声作文】6000+合集(1)</t>
        </is>
      </c>
      <c r="B593" s="2" t="str">
        <f>=HYPERLINK("https://pan.quark.cn/s/a25f86b622b2", "https://pan.quark.cn/s/a25f86b622b2")</f>
        <v>https://pan.quark.cn/s/a25f86b622b2</v>
      </c>
      <c r="C593" t="inlineStr">
        <is>
          <t>11.6G</t>
        </is>
      </c>
      <c r="D593" t="inlineStr">
        <is>
          <t>/小学生/作文/有声/优秀/K12/学龄儿童家长</t>
        </is>
      </c>
      <c r="E593" t="inlineStr">
        <is>
          <t>https://dcn8qexvg13r.feishu.cn/share/base/query/shrcnMqxwwRkV3NUIUxPeab3sec</t>
        </is>
      </c>
      <c r="F593" t="inlineStr">
        <is>
          <t>请添加微信：k846211</t>
        </is>
      </c>
      <c r="G593" t="inlineStr">
        <is>
          <t>2025-11-27</t>
        </is>
      </c>
    </row>
    <row r="594" ht="25.5" customHeight="1">
      <c r="A594" t="inlineStr">
        <is>
          <t>23.【完结】可乐诗词穿越记第三季</t>
        </is>
      </c>
      <c r="B594" s="2" t="str">
        <f>=HYPERLINK("https://pan.quark.cn/s/8475413edbbe", "https://pan.quark.cn/s/8475413edbbe")</f>
        <v>https://pan.quark.cn/s/8475413edbbe</v>
      </c>
      <c r="C594" t="inlineStr">
        <is>
          <t>3.3G</t>
        </is>
      </c>
      <c r="D594" t="inlineStr">
        <is>
          <t>/诗词/穿越/完结/儿童文学/K12/学龄儿童家长</t>
        </is>
      </c>
      <c r="E594" t="inlineStr">
        <is>
          <t>https://dcn8qexvg13r.feishu.cn/share/base/query/shrcnMqxwwRkV3NUIUxPeab3sec</t>
        </is>
      </c>
      <c r="F594" t="inlineStr">
        <is>
          <t>请添加微信：k846211</t>
        </is>
      </c>
      <c r="G594" t="inlineStr">
        <is>
          <t>2025-11-27</t>
        </is>
      </c>
    </row>
    <row r="595" ht="25.5" customHeight="1">
      <c r="A595" t="inlineStr">
        <is>
          <t>郭郭老师文言文启蒙【完结】</t>
        </is>
      </c>
      <c r="B595" s="2" t="str">
        <f>=HYPERLINK("https://pan.quark.cn/s/4357d0c6745c", "https://pan.quark.cn/s/4357d0c6745c")</f>
        <v>https://pan.quark.cn/s/4357d0c6745c</v>
      </c>
      <c r="C595" t="inlineStr">
        <is>
          <t>2.6G</t>
        </is>
      </c>
      <c r="D595" t="inlineStr">
        <is>
          <t>/文言文/启蒙/课程/完结/K12/学龄儿童家长</t>
        </is>
      </c>
      <c r="E595" t="inlineStr">
        <is>
          <t>https://dcn8qexvg13r.feishu.cn/share/base/query/shrcnMqxwwRkV3NUIUxPeab3sec</t>
        </is>
      </c>
      <c r="F595" t="inlineStr">
        <is>
          <t>请添加微信：k846211</t>
        </is>
      </c>
      <c r="G595" t="inlineStr">
        <is>
          <t>2025-11-27</t>
        </is>
      </c>
    </row>
    <row r="596" ht="25.5" customHeight="1">
      <c r="A596" t="inlineStr">
        <is>
          <t>100堂动画课带孩子穿越唐诗大世界</t>
        </is>
      </c>
      <c r="B596" s="2" t="str">
        <f>=HYPERLINK("https://pan.quark.cn/s/6930883d626e", "https://pan.quark.cn/s/6930883d626e")</f>
        <v>https://pan.quark.cn/s/6930883d626e</v>
      </c>
      <c r="C596" t="inlineStr">
        <is>
          <t>13.4G</t>
        </is>
      </c>
      <c r="D596" t="inlineStr">
        <is>
          <t>/唐诗/动画课/儿童教育/学龄儿童家长/宝妈/家长群体</t>
        </is>
      </c>
      <c r="E596" t="inlineStr">
        <is>
          <t>https://dcn8qexvg13r.feishu.cn/share/base/query/shrcnMqxwwRkV3NUIUxPeab3sec</t>
        </is>
      </c>
      <c r="F596" t="inlineStr">
        <is>
          <t>请添加微信：k846211</t>
        </is>
      </c>
      <c r="G596" t="inlineStr">
        <is>
          <t>2025-11-27</t>
        </is>
      </c>
    </row>
    <row r="597" ht="25.5" customHeight="1">
      <c r="A597" t="inlineStr">
        <is>
          <t>浩然爸爸讲古诗词(85集全) 音频MP3</t>
        </is>
      </c>
      <c r="B597" s="2" t="str">
        <f>=HYPERLINK("https://pan.quark.cn/s/ae22668edda1", "https://pan.quark.cn/s/ae22668edda1")</f>
        <v>https://pan.quark.cn/s/ae22668edda1</v>
      </c>
      <c r="C597" t="inlineStr">
        <is>
          <t>1G</t>
        </is>
      </c>
      <c r="D597" t="inlineStr">
        <is>
          <t>/古诗词/音频MP3/儿童教育/宝妈/家长群体/学龄儿童家长</t>
        </is>
      </c>
      <c r="E597" t="inlineStr">
        <is>
          <t>https://dcn8qexvg13r.feishu.cn/share/base/query/shrcnMqxwwRkV3NUIUxPeab3sec</t>
        </is>
      </c>
      <c r="F597" t="inlineStr">
        <is>
          <t>请添加微信：k846211</t>
        </is>
      </c>
      <c r="G597" t="inlineStr">
        <is>
          <t>2025-11-27</t>
        </is>
      </c>
    </row>
    <row r="598" ht="25.5" customHeight="1">
      <c r="A598" t="inlineStr">
        <is>
          <t>常青藤日课小古文240</t>
        </is>
      </c>
      <c r="B598" s="2" t="str">
        <f>=HYPERLINK("https://pan.quark.cn/s/765bb150f808", "https://pan.quark.cn/s/765bb150f808")</f>
        <v>https://pan.quark.cn/s/765bb150f808</v>
      </c>
      <c r="C598" t="inlineStr">
        <is>
          <t>5.4G</t>
        </is>
      </c>
      <c r="D598" t="inlineStr">
        <is>
          <t>/小古文/日课/国学启蒙/学习资源/K12/学龄儿童家长</t>
        </is>
      </c>
      <c r="E598" t="inlineStr">
        <is>
          <t>https://dcn8qexvg13r.feishu.cn/share/base/query/shrcnMqxwwRkV3NUIUxPeab3sec</t>
        </is>
      </c>
      <c r="F598" t="inlineStr">
        <is>
          <t>请添加微信：k846211</t>
        </is>
      </c>
      <c r="G598" t="inlineStr">
        <is>
          <t>2025-11-27</t>
        </is>
      </c>
    </row>
    <row r="599" ht="25.5" customHeight="1">
      <c r="A599" t="inlineStr">
        <is>
          <t>k106 每日小古文【更新中】</t>
        </is>
      </c>
      <c r="B599" s="2" t="str">
        <f>=HYPERLINK("https://pan.quark.cn/s/61dc28ccf43d", "https://pan.quark.cn/s/61dc28ccf43d")</f>
        <v>https://pan.quark.cn/s/61dc28ccf43d</v>
      </c>
      <c r="C599" t="inlineStr">
        <is>
          <t>4.2G</t>
        </is>
      </c>
      <c r="D599" t="inlineStr">
        <is>
          <t>/小古文/每日更新/传统文化/K12/学龄儿童家长</t>
        </is>
      </c>
      <c r="E599" t="inlineStr">
        <is>
          <t>https://dcn8qexvg13r.feishu.cn/share/base/query/shrcnMqxwwRkV3NUIUxPeab3sec</t>
        </is>
      </c>
      <c r="F599" t="inlineStr">
        <is>
          <t>请添加微信：k846211</t>
        </is>
      </c>
      <c r="G599" t="inlineStr">
        <is>
          <t>2025-11-27</t>
        </is>
      </c>
    </row>
    <row r="600" ht="25.5" customHeight="1">
      <c r="A600" t="inlineStr">
        <is>
          <t>【甜甜老师领读小古文】101节视频</t>
        </is>
      </c>
      <c r="B600" s="2" t="str">
        <f>=HYPERLINK("https://pan.quark.cn/s/8a32f4ee8e7d", "https://pan.quark.cn/s/8a32f4ee8e7d")</f>
        <v>https://pan.quark.cn/s/8a32f4ee8e7d</v>
      </c>
      <c r="C600" t="inlineStr">
        <is>
          <t>6.5G</t>
        </is>
      </c>
      <c r="D600" t="inlineStr">
        <is>
          <t>/小古文/视频/领读/K12/学龄儿童家长</t>
        </is>
      </c>
      <c r="E600" t="inlineStr">
        <is>
          <t>https://dcn8qexvg13r.feishu.cn/share/base/query/shrcnMqxwwRkV3NUIUxPeab3sec</t>
        </is>
      </c>
      <c r="F600" t="inlineStr">
        <is>
          <t>请添加微信：k846211</t>
        </is>
      </c>
      <c r="G600" t="inlineStr">
        <is>
          <t>2025-11-27</t>
        </is>
      </c>
    </row>
    <row r="601" ht="25.5" customHeight="1">
      <c r="A601" t="inlineStr">
        <is>
          <t>03.【完结】北辰课堂 漫画版小学文言文启蒙</t>
        </is>
      </c>
      <c r="B601" s="2" t="str">
        <f>=HYPERLINK("https://pan.quark.cn/s/2f73232d0b55", "https://pan.quark.cn/s/2f73232d0b55")</f>
        <v>https://pan.quark.cn/s/2f73232d0b55</v>
      </c>
      <c r="C601" t="inlineStr">
        <is>
          <t>2.1G</t>
        </is>
      </c>
      <c r="D601" t="inlineStr">
        <is>
          <t>/小学文言文/漫画版/启蒙/北辰课堂/K12/学龄儿童家长</t>
        </is>
      </c>
      <c r="E601" t="inlineStr">
        <is>
          <t>https://dcn8qexvg13r.feishu.cn/share/base/query/shrcnMqxwwRkV3NUIUxPeab3sec</t>
        </is>
      </c>
      <c r="F601" t="inlineStr">
        <is>
          <t>请添加微信：k846211</t>
        </is>
      </c>
      <c r="G601" t="inlineStr">
        <is>
          <t>2025-11-27</t>
        </is>
      </c>
    </row>
    <row r="602" ht="25.5" customHeight="1">
      <c r="A602" t="inlineStr">
        <is>
          <t>02. 【完结】课本里的文言文</t>
        </is>
      </c>
      <c r="B602" s="2" t="str">
        <f>=HYPERLINK("https://pan.quark.cn/s/ef8a11cbfd2e", "https://pan.quark.cn/s/ef8a11cbfd2e")</f>
        <v>https://pan.quark.cn/s/ef8a11cbfd2e</v>
      </c>
      <c r="C602" t="inlineStr">
        <is>
          <t>21.5G</t>
        </is>
      </c>
      <c r="D602" t="inlineStr">
        <is>
          <t>/文言文/课本同步/完结课程/K12/学龄儿童家长</t>
        </is>
      </c>
      <c r="E602" t="inlineStr">
        <is>
          <t>https://dcn8qexvg13r.feishu.cn/share/base/query/shrcnMqxwwRkV3NUIUxPeab3sec</t>
        </is>
      </c>
      <c r="F602" t="inlineStr">
        <is>
          <t>请添加微信：k846211</t>
        </is>
      </c>
      <c r="G602" t="inlineStr">
        <is>
          <t>2025-11-27</t>
        </is>
      </c>
    </row>
    <row r="603" ht="25.5" customHeight="1">
      <c r="A603" t="inlineStr">
        <is>
          <t>04. 文言文快速入门</t>
        </is>
      </c>
      <c r="B603" s="2" t="str">
        <f>=HYPERLINK("https://pan.quark.cn/s/1b05198f7a8b", "https://pan.quark.cn/s/1b05198f7a8b")</f>
        <v>https://pan.quark.cn/s/1b05198f7a8b</v>
      </c>
      <c r="C603" t="inlineStr">
        <is>
          <t>1.9G</t>
        </is>
      </c>
      <c r="D603" t="inlineStr">
        <is>
          <t>/文言文/入门/学习/K12/大学生</t>
        </is>
      </c>
      <c r="E603" t="inlineStr">
        <is>
          <t>https://dcn8qexvg13r.feishu.cn/share/base/query/shrcnMqxwwRkV3NUIUxPeab3sec</t>
        </is>
      </c>
      <c r="F603" t="inlineStr">
        <is>
          <t>请添加微信：k846211</t>
        </is>
      </c>
      <c r="G603" t="inlineStr">
        <is>
          <t>2025-11-27</t>
        </is>
      </c>
    </row>
    <row r="604" ht="25.5" customHeight="1">
      <c r="A604" t="inlineStr">
        <is>
          <t>04. 【完结】博雅-谢琰精讲课本里的100首古诗词</t>
        </is>
      </c>
      <c r="B604" s="2" t="str">
        <f>=HYPERLINK("https://pan.quark.cn/s/89f2b9e24f20", "https://pan.quark.cn/s/89f2b9e24f20")</f>
        <v>https://pan.quark.cn/s/89f2b9e24f20</v>
      </c>
      <c r="C604" t="inlineStr">
        <is>
          <t>1.2G</t>
        </is>
      </c>
      <c r="D604" t="inlineStr">
        <is>
          <t>/古诗词/课本/谢琰/精讲/K12/学龄儿童家长</t>
        </is>
      </c>
      <c r="E604" t="inlineStr">
        <is>
          <t>https://dcn8qexvg13r.feishu.cn/share/base/query/shrcnMqxwwRkV3NUIUxPeab3sec</t>
        </is>
      </c>
      <c r="F604" t="inlineStr">
        <is>
          <t>请添加微信：k846211</t>
        </is>
      </c>
      <c r="G604" t="inlineStr">
        <is>
          <t>2025-11-27</t>
        </is>
      </c>
    </row>
    <row r="605" ht="25.5" customHeight="1">
      <c r="A605" t="inlineStr">
        <is>
          <t>悟空识字</t>
        </is>
      </c>
      <c r="B605" s="2" t="str">
        <f>=HYPERLINK("https://pan.quark.cn/s/722107199a71", "https://pan.quark.cn/s/722107199a71")</f>
        <v>https://pan.quark.cn/s/722107199a71</v>
      </c>
      <c r="C605" t="inlineStr">
        <is>
          <t>218.6M</t>
        </is>
      </c>
      <c r="D605" t="inlineStr">
        <is>
          <t>/识字/儿童教育/学前教育/启蒙教育/学龄儿童家长/K12</t>
        </is>
      </c>
      <c r="E605" t="inlineStr">
        <is>
          <t>https://dcn8qexvg13r.feishu.cn/share/base/query/shrcnMqxwwRkV3NUIUxPeab3sec</t>
        </is>
      </c>
      <c r="F605" t="inlineStr">
        <is>
          <t>请添加微信：k846211</t>
        </is>
      </c>
      <c r="G605" t="inlineStr">
        <is>
          <t>2025-11-27</t>
        </is>
      </c>
    </row>
    <row r="606" ht="25.5" customHeight="1">
      <c r="A606" t="inlineStr">
        <is>
          <t>王立群读史记 之 汉武帝【小初~音频】</t>
        </is>
      </c>
      <c r="B606" s="2" t="str">
        <f>=HYPERLINK("https://pan.quark.cn/s/f8f0bcd273fb", "https://pan.quark.cn/s/f8f0bcd273fb")</f>
        <v>https://pan.quark.cn/s/f8f0bcd273fb</v>
      </c>
      <c r="C606" t="inlineStr">
        <is>
          <t>310.8M</t>
        </is>
      </c>
      <c r="D606" t="inlineStr">
        <is>
          <t>/史记/汉武帝/王立群/音频/K12/学龄儿童家长</t>
        </is>
      </c>
      <c r="E606" t="inlineStr">
        <is>
          <t>https://dcn8qexvg13r.feishu.cn/share/base/query/shrcnMqxwwRkV3NUIUxPeab3sec</t>
        </is>
      </c>
      <c r="F606" t="inlineStr">
        <is>
          <t>请添加微信：k846211</t>
        </is>
      </c>
      <c r="G606" t="inlineStr">
        <is>
          <t>2025-11-27</t>
        </is>
      </c>
    </row>
    <row r="607" ht="25.5" customHeight="1">
      <c r="A607" t="inlineStr">
        <is>
          <t>学而思大语文</t>
        </is>
      </c>
      <c r="B607" s="2" t="str">
        <f>=HYPERLINK("https://pan.quark.cn/s/c5ab3a9019c6", "https://pan.quark.cn/s/c5ab3a9019c6")</f>
        <v>https://pan.quark.cn/s/c5ab3a9019c6</v>
      </c>
      <c r="C607" t="inlineStr">
        <is>
          <t>90.4G</t>
        </is>
      </c>
      <c r="D607" t="inlineStr">
        <is>
          <t>/语文学习/学而思/大语文/K12/宝妈/家长群体/学龄儿童家长</t>
        </is>
      </c>
      <c r="E607" t="inlineStr">
        <is>
          <t>https://dcn8qexvg13r.feishu.cn/share/base/query/shrcnMqxwwRkV3NUIUxPeab3sec</t>
        </is>
      </c>
      <c r="F607" t="inlineStr">
        <is>
          <t>请添加微信：k846211</t>
        </is>
      </c>
      <c r="G607" t="inlineStr">
        <is>
          <t>2025-11-27</t>
        </is>
      </c>
    </row>
    <row r="608" ht="25.5" customHeight="1">
      <c r="A608" t="inlineStr">
        <is>
          <t>学而思经典小学3-6年级阅读理解（视频+讲义）</t>
        </is>
      </c>
      <c r="B608" s="2" t="str">
        <f>=HYPERLINK("https://pan.quark.cn/s/4ec97f5bbe85", "https://pan.quark.cn/s/4ec97f5bbe85")</f>
        <v>https://pan.quark.cn/s/4ec97f5bbe85</v>
      </c>
      <c r="C608" t="inlineStr">
        <is>
          <t>10.3G</t>
        </is>
      </c>
      <c r="D608" t="inlineStr">
        <is>
          <t>/小学阅读理解/视频/讲义/3-6年级/K12/学龄儿童家长</t>
        </is>
      </c>
      <c r="E608" t="inlineStr">
        <is>
          <t>https://dcn8qexvg13r.feishu.cn/share/base/query/shrcnMqxwwRkV3NUIUxPeab3sec</t>
        </is>
      </c>
      <c r="F608" t="inlineStr">
        <is>
          <t>请添加微信：k846211</t>
        </is>
      </c>
      <c r="G608" t="inlineStr">
        <is>
          <t>2025-11-27</t>
        </is>
      </c>
    </row>
    <row r="609" ht="25.5" customHeight="1">
      <c r="A609" t="inlineStr">
        <is>
          <t>学而思科学课</t>
        </is>
      </c>
      <c r="B609" s="2" t="str">
        <f>=HYPERLINK("https://pan.quark.cn/s/c9e20948337e", "https://pan.quark.cn/s/c9e20948337e")</f>
        <v>https://pan.quark.cn/s/c9e20948337e</v>
      </c>
      <c r="C609" t="inlineStr">
        <is>
          <t>17.2G</t>
        </is>
      </c>
      <c r="D609" t="inlineStr">
        <is>
          <t>/科学教育/学而思/课程/K12/学龄儿童家长</t>
        </is>
      </c>
      <c r="E609" t="inlineStr">
        <is>
          <t>https://dcn8qexvg13r.feishu.cn/share/base/query/shrcnMqxwwRkV3NUIUxPeab3sec</t>
        </is>
      </c>
      <c r="F609" t="inlineStr">
        <is>
          <t>请添加微信：k846211</t>
        </is>
      </c>
      <c r="G609" t="inlineStr">
        <is>
          <t>2025-11-27</t>
        </is>
      </c>
    </row>
    <row r="610" ht="25.5" customHeight="1">
      <c r="A610" t="inlineStr">
        <is>
          <t>学而思轻课朝代歌·四部【完结】</t>
        </is>
      </c>
      <c r="B610" s="2" t="str">
        <f>=HYPERLINK("https://pan.quark.cn/s/407c433d6d54", "https://pan.quark.cn/s/407c433d6d54")</f>
        <v>https://pan.quark.cn/s/407c433d6d54</v>
      </c>
      <c r="C610" t="inlineStr">
        <is>
          <t>9.5G</t>
        </is>
      </c>
      <c r="D610" t="inlineStr">
        <is>
          <t>/朝代歌/历史启蒙/轻课/学而思/K12/学龄儿童家长</t>
        </is>
      </c>
      <c r="E610" t="inlineStr">
        <is>
          <t>https://dcn8qexvg13r.feishu.cn/share/base/query/shrcnMqxwwRkV3NUIUxPeab3sec</t>
        </is>
      </c>
      <c r="F610" t="inlineStr">
        <is>
          <t>请添加微信：k846211</t>
        </is>
      </c>
      <c r="G610" t="inlineStr">
        <is>
          <t>2025-11-27</t>
        </is>
      </c>
    </row>
    <row r="611" ht="25.5" customHeight="1">
      <c r="A611" t="inlineStr">
        <is>
          <t>学而思轻课【完结】好奇实验室</t>
        </is>
      </c>
      <c r="B611" s="2" t="str">
        <f>=HYPERLINK("https://pan.quark.cn/s/1e011472ceb2", "https://pan.quark.cn/s/1e011472ceb2")</f>
        <v>https://pan.quark.cn/s/1e011472ceb2</v>
      </c>
      <c r="C611" t="inlineStr">
        <is>
          <t>1.1G</t>
        </is>
      </c>
      <c r="D611" t="inlineStr">
        <is>
          <t>/好奇实验室/轻课/科学实验/小学教育/K12/学龄儿童家长</t>
        </is>
      </c>
      <c r="E611" t="inlineStr">
        <is>
          <t>https://dcn8qexvg13r.feishu.cn/share/base/query/shrcnMqxwwRkV3NUIUxPeab3sec</t>
        </is>
      </c>
      <c r="F611" t="inlineStr">
        <is>
          <t>请添加微信：k846211</t>
        </is>
      </c>
      <c r="G611" t="inlineStr">
        <is>
          <t>2025-11-27</t>
        </is>
      </c>
    </row>
    <row r="612" ht="25.5" customHeight="1">
      <c r="A612" t="inlineStr">
        <is>
          <t>学而思小升初阅读写作思维突破班</t>
        </is>
      </c>
      <c r="B612" s="2" t="str">
        <f>=HYPERLINK("https://pan.quark.cn/s/8b2b4304fb4c", "https://pan.quark.cn/s/8b2b4304fb4c")</f>
        <v>https://pan.quark.cn/s/8b2b4304fb4c</v>
      </c>
      <c r="C612" t="inlineStr">
        <is>
          <t>719.6M</t>
        </is>
      </c>
      <c r="D612" t="inlineStr">
        <is>
          <t>/小升初/阅读写作/思维突破/学而思/K12/学龄儿童家长</t>
        </is>
      </c>
      <c r="E612" t="inlineStr">
        <is>
          <t>https://dcn8qexvg13r.feishu.cn/share/base/query/shrcnMqxwwRkV3NUIUxPeab3sec</t>
        </is>
      </c>
      <c r="F612" t="inlineStr">
        <is>
          <t>请添加微信：k846211</t>
        </is>
      </c>
      <c r="G612" t="inlineStr">
        <is>
          <t>2025-11-27</t>
        </is>
      </c>
    </row>
    <row r="613" ht="25.5" customHeight="1">
      <c r="A613" t="inlineStr">
        <is>
          <t>学而思小学数学八大专题</t>
        </is>
      </c>
      <c r="B613" s="2" t="str">
        <f>=HYPERLINK("https://pan.quark.cn/s/6cc2dcf55ab3", "https://pan.quark.cn/s/6cc2dcf55ab3")</f>
        <v>https://pan.quark.cn/s/6cc2dcf55ab3</v>
      </c>
      <c r="C613" t="inlineStr">
        <is>
          <t>21.6G</t>
        </is>
      </c>
      <c r="D613" t="inlineStr">
        <is>
          <t>/小学数学/八大专题/学而思/专题辅导/K12/学龄儿童家长</t>
        </is>
      </c>
      <c r="E613" t="inlineStr">
        <is>
          <t>https://dcn8qexvg13r.feishu.cn/share/base/query/shrcnMqxwwRkV3NUIUxPeab3sec</t>
        </is>
      </c>
      <c r="F613" t="inlineStr">
        <is>
          <t>请添加微信：k846211</t>
        </is>
      </c>
      <c r="G613" t="inlineStr">
        <is>
          <t>2025-11-27</t>
        </is>
      </c>
    </row>
    <row r="614" ht="25.5" customHeight="1">
      <c r="A614" t="inlineStr">
        <is>
          <t>学而思小学语文知识大全</t>
        </is>
      </c>
      <c r="B614" s="2" t="str">
        <f>=HYPERLINK("https://pan.quark.cn/s/c85d3d49e9a9", "https://pan.quark.cn/s/c85d3d49e9a9")</f>
        <v>https://pan.quark.cn/s/c85d3d49e9a9</v>
      </c>
      <c r="C614" t="inlineStr">
        <is>
          <t>5.9G</t>
        </is>
      </c>
      <c r="D614" t="inlineStr">
        <is>
          <t>/小学语文/知识大全/学而思/K12/学龄儿童家长</t>
        </is>
      </c>
      <c r="E614" t="inlineStr">
        <is>
          <t>https://dcn8qexvg13r.feishu.cn/share/base/query/shrcnMqxwwRkV3NUIUxPeab3sec</t>
        </is>
      </c>
      <c r="F614" t="inlineStr">
        <is>
          <t>请添加微信：k846211</t>
        </is>
      </c>
      <c r="G614" t="inlineStr">
        <is>
          <t>2025-11-27</t>
        </is>
      </c>
    </row>
    <row r="615" ht="25.5" customHeight="1">
      <c r="A615" t="inlineStr">
        <is>
          <t>学而思写作技法一本通(大通关)【3-6年级】(40讲视频＋pdf)【完结】</t>
        </is>
      </c>
      <c r="B615" s="2" t="str">
        <f>=HYPERLINK("https://pan.quark.cn/s/f761843fca2f", "https://pan.quark.cn/s/f761843fca2f")</f>
        <v>https://pan.quark.cn/s/f761843fca2f</v>
      </c>
      <c r="C615" t="inlineStr">
        <is>
          <t>103.2G</t>
        </is>
      </c>
      <c r="D615" t="inlineStr">
        <is>
          <t>/写作技法/视频课程/PDF资料/3-6年级/K12/学龄儿童家长</t>
        </is>
      </c>
      <c r="E615" t="inlineStr">
        <is>
          <t>https://dcn8qexvg13r.feishu.cn/share/base/query/shrcnMqxwwRkV3NUIUxPeab3sec</t>
        </is>
      </c>
      <c r="F615" t="inlineStr">
        <is>
          <t>请添加微信：k846211</t>
        </is>
      </c>
      <c r="G615" t="inlineStr">
        <is>
          <t>2025-11-27</t>
        </is>
      </c>
    </row>
    <row r="616" ht="25.5" customHeight="1">
      <c r="A616" t="inlineStr">
        <is>
          <t>学而思写作课</t>
        </is>
      </c>
      <c r="B616" s="2" t="str">
        <f>=HYPERLINK("https://pan.quark.cn/s/036b0a1aa0a7", "https://pan.quark.cn/s/036b0a1aa0a7")</f>
        <v>https://pan.quark.cn/s/036b0a1aa0a7</v>
      </c>
      <c r="C616" t="inlineStr">
        <is>
          <t>20.9G</t>
        </is>
      </c>
      <c r="D616" t="inlineStr">
        <is>
          <t>/写作/课程/能力提升/写作技巧/K12/学龄儿童家长</t>
        </is>
      </c>
      <c r="E616" t="inlineStr">
        <is>
          <t>https://dcn8qexvg13r.feishu.cn/share/base/query/shrcnMqxwwRkV3NUIUxPeab3sec</t>
        </is>
      </c>
      <c r="F616" t="inlineStr">
        <is>
          <t>请添加微信：k846211</t>
        </is>
      </c>
      <c r="G616" t="inlineStr">
        <is>
          <t>2025-11-27</t>
        </is>
      </c>
    </row>
    <row r="617" ht="25.5" customHeight="1">
      <c r="A617" t="inlineStr">
        <is>
          <t>怪奇物语（2016）S01-S04全集 4K 蓝光 内嵌简英字幕</t>
        </is>
      </c>
      <c r="B617" s="2" t="str">
        <f>=HYPERLINK("https://pan.quark.cn/s/de8176f2f50d", "https://pan.quark.cn/s/de8176f2f50d")</f>
        <v>https://pan.quark.cn/s/de8176f2f50d</v>
      </c>
      <c r="C617" t="inlineStr">
        <is>
          <t>164.2G</t>
        </is>
      </c>
      <c r="D617" t="inlineStr">
        <is>
          <t>/怪奇物语/4K蓝光/内嵌简英字幕/剧集/剧集</t>
        </is>
      </c>
      <c r="E617" t="inlineStr">
        <is>
          <t>https://dcn8qexvg13r.feishu.cn/share/base/query/shrcnMqxwwRkV3NUIUxPeab3sec</t>
        </is>
      </c>
      <c r="F617" t="inlineStr">
        <is>
          <t>请添加微信：k846211</t>
        </is>
      </c>
      <c r="G617" t="inlineStr">
        <is>
          <t>2025-11-27</t>
        </is>
      </c>
    </row>
    <row r="618" ht="25.5" customHeight="1">
      <c r="A618" t="inlineStr">
        <is>
          <t>疯狂的动物城</t>
        </is>
      </c>
      <c r="B618" s="2" t="str">
        <f>=HYPERLINK("https://pan.quark.cn/s/22b5e222b662", "https://pan.quark.cn/s/22b5e222b662")</f>
        <v>https://pan.quark.cn/s/22b5e222b662</v>
      </c>
      <c r="C618" t="inlineStr">
        <is>
          <t>23.3G</t>
        </is>
      </c>
      <c r="D618" t="inlineStr">
        <is>
          <t>/动画电影/动物拟人/成长励志/喜剧冒险/电影/动漫</t>
        </is>
      </c>
      <c r="E618" t="inlineStr">
        <is>
          <t>https://dcn8qexvg13r.feishu.cn/share/base/query/shrcnMqxwwRkV3NUIUxPeab3sec</t>
        </is>
      </c>
      <c r="F618" t="inlineStr">
        <is>
          <t>请添加微信：k846211</t>
        </is>
      </c>
      <c r="G618" t="inlineStr">
        <is>
          <t>2025-11-27</t>
        </is>
      </c>
    </row>
    <row r="619" ht="25.5" customHeight="1">
      <c r="A619" t="inlineStr">
        <is>
          <t>[无耻之徒(美版)]蓝光原盘（1-11季全集）（880g）</t>
        </is>
      </c>
      <c r="B619" s="2" t="str">
        <f>=HYPERLINK("https://pan.quark.cn/s/3f591aba91ae", "https://pan.quark.cn/s/3f591aba91ae")</f>
        <v>https://pan.quark.cn/s/3f591aba91ae</v>
      </c>
      <c r="C619" t="inlineStr">
        <is>
          <t>888G</t>
        </is>
      </c>
      <c r="D619" t="inlineStr">
        <is>
          <t>/无耻之徒(美版)/蓝光原盘/1-11季全集/剧集/剧集</t>
        </is>
      </c>
      <c r="E619" t="inlineStr">
        <is>
          <t>https://dcn8qexvg13r.feishu.cn/share/base/query/shrcnMqxwwRkV3NUIUxPeab3sec</t>
        </is>
      </c>
      <c r="F619" t="inlineStr">
        <is>
          <t>请添加微信：k846211</t>
        </is>
      </c>
      <c r="G619" t="inlineStr">
        <is>
          <t>2025-11-27</t>
        </is>
      </c>
    </row>
    <row r="620" ht="25.5" customHeight="1">
      <c r="A620" t="inlineStr">
        <is>
          <t>人浮于爱</t>
        </is>
      </c>
      <c r="B620" s="2" t="str">
        <f>=HYPERLINK("https://pan.quark.cn/s/2173798944fc", "https://pan.quark.cn/s/2173798944fc")</f>
        <v>https://pan.quark.cn/s/2173798944fc</v>
      </c>
      <c r="C620" t="inlineStr">
        <is>
          <t>9.8G</t>
        </is>
      </c>
      <c r="D620" t="inlineStr">
        <is>
          <t>/爱情/情感/内容主题/核心价值/白领/其他</t>
        </is>
      </c>
      <c r="E620" t="inlineStr">
        <is>
          <t>https://dcn8qexvg13r.feishu.cn/share/base/query/shrcnMqxwwRkV3NUIUxPeab3sec</t>
        </is>
      </c>
      <c r="F620" t="inlineStr">
        <is>
          <t>请添加微信：k846211</t>
        </is>
      </c>
      <c r="G620" t="inlineStr">
        <is>
          <t>2025-11-27</t>
        </is>
      </c>
    </row>
    <row r="621" ht="25.5" customHeight="1">
      <c r="A621" t="inlineStr">
        <is>
          <t>11月25日短剧合集</t>
        </is>
      </c>
      <c r="B621" s="2" t="str">
        <f>=HYPERLINK("https://pan.quark.cn/s/109cae8ad670", "https://pan.quark.cn/s/109cae8ad670")</f>
        <v>https://pan.quark.cn/s/109cae8ad670</v>
      </c>
      <c r="C621" t="inlineStr">
        <is>
          <t>52.9G</t>
        </is>
      </c>
      <c r="D621" t="inlineStr">
        <is>
          <t>/短剧/11月25日/剧集</t>
        </is>
      </c>
      <c r="E621" t="inlineStr">
        <is>
          <t>https://dcn8qexvg13r.feishu.cn/share/base/query/shrcnMqxwwRkV3NUIUxPeab3sec</t>
        </is>
      </c>
      <c r="F621" t="inlineStr">
        <is>
          <t>请添加微信：k846211</t>
        </is>
      </c>
      <c r="G621" t="inlineStr">
        <is>
          <t>2025-11-27</t>
        </is>
      </c>
    </row>
    <row r="622" ht="25.5" customHeight="1">
      <c r="A622" t="inlineStr">
        <is>
          <t>2025.11.25小说合集推荐</t>
        </is>
      </c>
      <c r="B622" s="2" t="str">
        <f>=HYPERLINK("https://pan.quark.cn/s/a306a79b38f0", "https://pan.quark.cn/s/a306a79b38f0")</f>
        <v>https://pan.quark.cn/s/a306a79b38f0</v>
      </c>
      <c r="C622" t="inlineStr">
        <is>
          <t>151M</t>
        </is>
      </c>
      <c r="D622" t="inlineStr">
        <is>
          <t>/小说/阅读/推荐/2025/其他</t>
        </is>
      </c>
      <c r="E622" t="inlineStr">
        <is>
          <t>https://dcn8qexvg13r.feishu.cn/share/base/query/shrcnMqxwwRkV3NUIUxPeab3sec</t>
        </is>
      </c>
      <c r="F622" t="inlineStr">
        <is>
          <t>请添加微信：k846211</t>
        </is>
      </c>
      <c r="G622" t="inlineStr">
        <is>
          <t>2025-11-27</t>
        </is>
      </c>
    </row>
    <row r="623" ht="25.5" customHeight="1">
      <c r="A623" t="inlineStr">
        <is>
          <t>一本寒假口算一年级数学人教版.pdf</t>
        </is>
      </c>
      <c r="B623" s="2" t="str">
        <f>=HYPERLINK("https://pan.quark.cn/s/4450df538d8b", "https://pan.quark.cn/s/4450df538d8b")</f>
        <v>https://pan.quark.cn/s/4450df538d8b</v>
      </c>
      <c r="C623" t="inlineStr">
        <is>
          <t>26.9M</t>
        </is>
      </c>
      <c r="D623" t="inlineStr">
        <is>
          <t>/一年级数学/口算/寒假作业/人教版/K12/学龄儿童家长</t>
        </is>
      </c>
      <c r="E623" t="inlineStr">
        <is>
          <t>https://dcn8qexvg13r.feishu.cn/share/base/query/shrcnMqxwwRkV3NUIUxPeab3sec</t>
        </is>
      </c>
      <c r="F623" t="inlineStr">
        <is>
          <t>请添加微信：k846211</t>
        </is>
      </c>
      <c r="G623" t="inlineStr">
        <is>
          <t>2025-11-27</t>
        </is>
      </c>
    </row>
    <row r="624" ht="25.5" customHeight="1">
      <c r="A624" t="inlineStr">
        <is>
          <t>教材解读一年级上册数学人教版口算题卡.pdf</t>
        </is>
      </c>
      <c r="B624" s="2" t="str">
        <f>=HYPERLINK("https://pan.quark.cn/s/02c0bd2534bc", "https://pan.quark.cn/s/02c0bd2534bc")</f>
        <v>https://pan.quark.cn/s/02c0bd2534bc</v>
      </c>
      <c r="C624" t="inlineStr">
        <is>
          <t>13.4M</t>
        </is>
      </c>
      <c r="D624" t="inlineStr">
        <is>
          <t>/一年级数学/口算题卡/人教版/教材解读/学龄儿童家长/K12</t>
        </is>
      </c>
      <c r="E624" t="inlineStr">
        <is>
          <t>https://dcn8qexvg13r.feishu.cn/share/base/query/shrcnMqxwwRkV3NUIUxPeab3sec</t>
        </is>
      </c>
      <c r="F624" t="inlineStr">
        <is>
          <t>请添加微信：k846211</t>
        </is>
      </c>
      <c r="G624" t="inlineStr">
        <is>
          <t>2025-11-27</t>
        </is>
      </c>
    </row>
    <row r="625" ht="25.5" customHeight="1">
      <c r="A625" t="inlineStr">
        <is>
          <t>教材解读一年级下册数学人教版口算题卡.pdf</t>
        </is>
      </c>
      <c r="B625" s="2" t="str">
        <f>=HYPERLINK("https://pan.quark.cn/s/83633b0e0ca2", "https://pan.quark.cn/s/83633b0e0ca2")</f>
        <v>https://pan.quark.cn/s/83633b0e0ca2</v>
      </c>
      <c r="C625" t="inlineStr">
        <is>
          <t>15M</t>
        </is>
      </c>
      <c r="D625" t="inlineStr">
        <is>
          <t>/一年级数学/人教版/口算题卡/数学练习/K12/学龄儿童家长</t>
        </is>
      </c>
      <c r="E625" t="inlineStr">
        <is>
          <t>https://dcn8qexvg13r.feishu.cn/share/base/query/shrcnMqxwwRkV3NUIUxPeab3sec</t>
        </is>
      </c>
      <c r="F625" t="inlineStr">
        <is>
          <t>请添加微信：k846211</t>
        </is>
      </c>
      <c r="G625" t="inlineStr">
        <is>
          <t>2025-11-27</t>
        </is>
      </c>
    </row>
    <row r="626" ht="25.5" customHeight="1">
      <c r="A626" t="inlineStr">
        <is>
          <t>25春《53天天练》一年级下册数学北师版口算百数表卡.pdf</t>
        </is>
      </c>
      <c r="B626" s="2" t="str">
        <f>=HYPERLINK("https://pan.quark.cn/s/d57fbc25ca4a", "https://pan.quark.cn/s/d57fbc25ca4a")</f>
        <v>https://pan.quark.cn/s/d57fbc25ca4a</v>
      </c>
      <c r="C626" t="inlineStr">
        <is>
          <t>3M</t>
        </is>
      </c>
      <c r="D626" t="inlineStr">
        <is>
          <t>/小学数学/口算百数表/练习卡/北师版/K12/学龄儿童家长</t>
        </is>
      </c>
      <c r="E626" t="inlineStr">
        <is>
          <t>https://dcn8qexvg13r.feishu.cn/share/base/query/shrcnMqxwwRkV3NUIUxPeab3sec</t>
        </is>
      </c>
      <c r="F626" t="inlineStr">
        <is>
          <t>请添加微信：k846211</t>
        </is>
      </c>
      <c r="G626" t="inlineStr">
        <is>
          <t>2025-11-27</t>
        </is>
      </c>
    </row>
    <row r="627" ht="25.5" customHeight="1">
      <c r="A627" t="inlineStr">
        <is>
          <t>三年级上册语文5单元作文支架＋优秀范文.pdf</t>
        </is>
      </c>
      <c r="B627" s="2" t="str">
        <f>=HYPERLINK("https://pan.quark.cn/s/8f1265ecb0b1", "https://pan.quark.cn/s/8f1265ecb0b1")</f>
        <v>https://pan.quark.cn/s/8f1265ecb0b1</v>
      </c>
      <c r="C627" t="inlineStr">
        <is>
          <t>15.8M</t>
        </is>
      </c>
      <c r="D627" t="inlineStr">
        <is>
          <t>/三年级语文/作文支架/优秀范文/单元作文/K12/学龄儿童家长</t>
        </is>
      </c>
      <c r="E627" t="inlineStr">
        <is>
          <t>https://dcn8qexvg13r.feishu.cn/share/base/query/shrcnMqxwwRkV3NUIUxPeab3sec</t>
        </is>
      </c>
      <c r="F627" t="inlineStr">
        <is>
          <t>请添加微信：k846211</t>
        </is>
      </c>
      <c r="G627" t="inlineStr">
        <is>
          <t>2025-11-30</t>
        </is>
      </c>
    </row>
    <row r="628" ht="25.5" customHeight="1">
      <c r="A628" t="inlineStr">
        <is>
          <t>三年级（上）语文同步课后词语表情景默写.pdf</t>
        </is>
      </c>
      <c r="B628" s="2" t="str">
        <f>=HYPERLINK("https://pan.quark.cn/s/73cf0143bda7", "https://pan.quark.cn/s/73cf0143bda7")</f>
        <v>https://pan.quark.cn/s/73cf0143bda7</v>
      </c>
      <c r="C628" t="inlineStr">
        <is>
          <t>89.8M</t>
        </is>
      </c>
      <c r="D628" t="inlineStr">
        <is>
          <t>/三年级语文/课后词语/情景默写/语文同步/学龄儿童家长/K12</t>
        </is>
      </c>
      <c r="E628" t="inlineStr">
        <is>
          <t>https://dcn8qexvg13r.feishu.cn/share/base/query/shrcnMqxwwRkV3NUIUxPeab3sec</t>
        </is>
      </c>
      <c r="F628" t="inlineStr">
        <is>
          <t>请添加微信：k846211</t>
        </is>
      </c>
      <c r="G628" t="inlineStr">
        <is>
          <t>2025-11-30</t>
        </is>
      </c>
    </row>
    <row r="629" ht="25.5" customHeight="1">
      <c r="A629" t="inlineStr">
        <is>
          <t>学习海报91-100｜乔智大叔手绘.pdf</t>
        </is>
      </c>
      <c r="B629" s="2" t="str">
        <f>=HYPERLINK("https://pan.quark.cn/s/333248741667", "https://pan.quark.cn/s/333248741667")</f>
        <v>https://pan.quark.cn/s/333248741667</v>
      </c>
      <c r="C629" t="inlineStr">
        <is>
          <t>107.8M</t>
        </is>
      </c>
      <c r="D629" t="inlineStr">
        <is>
          <t>/学习海报/手绘/乔智大叔/宝妈/家长群体/学龄儿童家长</t>
        </is>
      </c>
      <c r="E629" t="inlineStr">
        <is>
          <t>https://dcn8qexvg13r.feishu.cn/share/base/query/shrcnMqxwwRkV3NUIUxPeab3sec</t>
        </is>
      </c>
      <c r="F629" t="inlineStr">
        <is>
          <t>请添加微信：k846211</t>
        </is>
      </c>
      <c r="G629" t="inlineStr">
        <is>
          <t>2025-11-30</t>
        </is>
      </c>
    </row>
    <row r="630" ht="25.5" customHeight="1">
      <c r="A630" t="inlineStr">
        <is>
          <t>一图绘本15｜乔智大叔手绘.pdf</t>
        </is>
      </c>
      <c r="B630" s="2" t="str">
        <f>=HYPERLINK("https://pan.quark.cn/s/29964c9c1626", "https://pan.quark.cn/s/29964c9c1626")</f>
        <v>https://pan.quark.cn/s/29964c9c1626</v>
      </c>
      <c r="C630" t="inlineStr">
        <is>
          <t>730.5M</t>
        </is>
      </c>
      <c r="D630" t="inlineStr">
        <is>
          <t>/绘本/手绘/乔智大叔/儿童读物/宝妈/家长群体/学龄儿童家长</t>
        </is>
      </c>
      <c r="E630" t="inlineStr">
        <is>
          <t>https://dcn8qexvg13r.feishu.cn/share/base/query/shrcnMqxwwRkV3NUIUxPeab3sec</t>
        </is>
      </c>
      <c r="F630" t="inlineStr">
        <is>
          <t>请添加微信：k846211</t>
        </is>
      </c>
      <c r="G630" t="inlineStr">
        <is>
          <t>2025-11-30</t>
        </is>
      </c>
    </row>
    <row r="631" ht="25.5" customHeight="1">
      <c r="A631" t="inlineStr">
        <is>
          <t>周末基础复习周末基础复习人教版一年级2025语文上册.pdf</t>
        </is>
      </c>
      <c r="B631" s="2" t="str">
        <f>=HYPERLINK("https://pan.quark.cn/s/b1e9eca5265a", "https://pan.quark.cn/s/b1e9eca5265a")</f>
        <v>https://pan.quark.cn/s/b1e9eca5265a</v>
      </c>
      <c r="C631" t="inlineStr">
        <is>
          <t>284.9M</t>
        </is>
      </c>
      <c r="D631" t="inlineStr">
        <is>
          <t>/周末复习/人教版一年级/语文上册/基础复习/K12/学龄儿童家长</t>
        </is>
      </c>
      <c r="E631" t="inlineStr">
        <is>
          <t>https://dcn8qexvg13r.feishu.cn/share/base/query/shrcnMqxwwRkV3NUIUxPeab3sec</t>
        </is>
      </c>
      <c r="F631" t="inlineStr">
        <is>
          <t>请添加微信：k846211</t>
        </is>
      </c>
      <c r="G631" t="inlineStr">
        <is>
          <t>2025-11-30</t>
        </is>
      </c>
    </row>
    <row r="632" ht="25.5" customHeight="1">
      <c r="A632" t="inlineStr">
        <is>
          <t>小升初数学计算严选600题.pdf</t>
        </is>
      </c>
      <c r="B632" s="2" t="str">
        <f>=HYPERLINK("https://pan.quark.cn/s/7170e7ddac9f", "https://pan.quark.cn/s/7170e7ddac9f")</f>
        <v>https://pan.quark.cn/s/7170e7ddac9f</v>
      </c>
      <c r="C632" t="inlineStr">
        <is>
          <t>14.7M</t>
        </is>
      </c>
      <c r="D632" t="inlineStr">
        <is>
          <t>/小升初/数学计算/习题集/严选600题/K12/学龄儿童家长</t>
        </is>
      </c>
      <c r="E632" t="inlineStr">
        <is>
          <t>https://dcn8qexvg13r.feishu.cn/share/base/query/shrcnMqxwwRkV3NUIUxPeab3sec</t>
        </is>
      </c>
      <c r="F632" t="inlineStr">
        <is>
          <t>请添加微信：k846211</t>
        </is>
      </c>
      <c r="G632" t="inlineStr">
        <is>
          <t>2025-11-30</t>
        </is>
      </c>
    </row>
    <row r="633" ht="25.5" customHeight="1">
      <c r="A633" t="inlineStr">
        <is>
          <t>小升初数学图形严选300题.pdf</t>
        </is>
      </c>
      <c r="B633" s="2" t="str">
        <f>=HYPERLINK("https://pan.quark.cn/s/89b41e4ac452", "https://pan.quark.cn/s/89b41e4ac452")</f>
        <v>https://pan.quark.cn/s/89b41e4ac452</v>
      </c>
      <c r="C633" t="inlineStr">
        <is>
          <t>30.7M</t>
        </is>
      </c>
      <c r="D633" t="inlineStr">
        <is>
          <t>/小升初/数学图形/练习题/K12/学龄儿童家长</t>
        </is>
      </c>
      <c r="E633" t="inlineStr">
        <is>
          <t>https://dcn8qexvg13r.feishu.cn/share/base/query/shrcnMqxwwRkV3NUIUxPeab3sec</t>
        </is>
      </c>
      <c r="F633" t="inlineStr">
        <is>
          <t>请添加微信：k846211</t>
        </is>
      </c>
      <c r="G633" t="inlineStr">
        <is>
          <t>2025-11-30</t>
        </is>
      </c>
    </row>
    <row r="634" ht="25.5" customHeight="1">
      <c r="A634" t="inlineStr">
        <is>
          <t>小升初数学应用题严选600题.pdf</t>
        </is>
      </c>
      <c r="B634" s="2" t="str">
        <f>=HYPERLINK("https://pan.quark.cn/s/7c3cb3c376cc", "https://pan.quark.cn/s/7c3cb3c376cc")</f>
        <v>https://pan.quark.cn/s/7c3cb3c376cc</v>
      </c>
      <c r="C634" t="inlineStr">
        <is>
          <t>6.7M</t>
        </is>
      </c>
      <c r="D634" t="inlineStr">
        <is>
          <t>/小升初数学/应用题/严选600题/K12/学龄儿童家长</t>
        </is>
      </c>
      <c r="E634" t="inlineStr">
        <is>
          <t>https://dcn8qexvg13r.feishu.cn/share/base/query/shrcnMqxwwRkV3NUIUxPeab3sec</t>
        </is>
      </c>
      <c r="F634" t="inlineStr">
        <is>
          <t>请添加微信：k846211</t>
        </is>
      </c>
      <c r="G634" t="inlineStr">
        <is>
          <t>2025-11-30</t>
        </is>
      </c>
    </row>
    <row r="635" ht="25.5" customHeight="1">
      <c r="A635" t="inlineStr">
        <is>
          <t>26小马哥</t>
        </is>
      </c>
      <c r="B635" s="2" t="str">
        <f>=HYPERLINK("https://pan.quark.cn/s/f501fda210d7", "https://pan.quark.cn/s/f501fda210d7")</f>
        <v>https://pan.quark.cn/s/f501fda210d7</v>
      </c>
      <c r="C635" t="inlineStr">
        <is>
          <t>2.3G</t>
        </is>
      </c>
      <c r="D635" t="inlineStr">
        <is>
          <t>/小马哥/其他</t>
        </is>
      </c>
      <c r="E635" t="inlineStr">
        <is>
          <t>https://dcn8qexvg13r.feishu.cn/share/base/query/shrcnMqxwwRkV3NUIUxPeab3sec</t>
        </is>
      </c>
      <c r="F635" t="inlineStr">
        <is>
          <t>请添加微信：k846211</t>
        </is>
      </c>
      <c r="G635" t="inlineStr">
        <is>
          <t>2025-11-30</t>
        </is>
      </c>
    </row>
    <row r="636" ht="25.5" customHeight="1">
      <c r="A636" t="inlineStr">
        <is>
          <t>26超格【公众号：上岸共齐心】</t>
        </is>
      </c>
      <c r="B636" s="2" t="str">
        <f>=HYPERLINK("https://pan.quark.cn/s/d4f368015c36", "https://pan.quark.cn/s/d4f368015c36")</f>
        <v>https://pan.quark.cn/s/d4f368015c36</v>
      </c>
      <c r="C636" t="inlineStr">
        <is>
          <t>548.2G</t>
        </is>
      </c>
      <c r="D636" t="inlineStr">
        <is>
          <t>/超格/考公/上岸/备考/考研/考公/考证党</t>
        </is>
      </c>
      <c r="E636" t="inlineStr">
        <is>
          <t>https://dcn8qexvg13r.feishu.cn/share/base/query/shrcnMqxwwRkV3NUIUxPeab3sec</t>
        </is>
      </c>
      <c r="F636" t="inlineStr">
        <is>
          <t>请添加微信：k846211</t>
        </is>
      </c>
      <c r="G636" t="inlineStr">
        <is>
          <t>2025-11-30</t>
        </is>
      </c>
    </row>
    <row r="637" ht="25.5" customHeight="1">
      <c r="A637" t="inlineStr">
        <is>
          <t>26粉笔980</t>
        </is>
      </c>
      <c r="B637" s="2" t="str">
        <f>=HYPERLINK("https://pan.quark.cn/s/5a31d0391b3a", "https://pan.quark.cn/s/5a31d0391b3a")</f>
        <v>https://pan.quark.cn/s/5a31d0391b3a</v>
      </c>
      <c r="C637" t="inlineStr">
        <is>
          <t>804.6G</t>
        </is>
      </c>
      <c r="D637" t="inlineStr">
        <is>
          <t>/考公/粉笔/980/备考课程/考研/考公/考证党</t>
        </is>
      </c>
      <c r="E637" t="inlineStr">
        <is>
          <t>https://dcn8qexvg13r.feishu.cn/share/base/query/shrcnMqxwwRkV3NUIUxPeab3sec</t>
        </is>
      </c>
      <c r="F637" t="inlineStr">
        <is>
          <t>请添加微信：k846211</t>
        </is>
      </c>
      <c r="G637" t="inlineStr">
        <is>
          <t>2025-11-30</t>
        </is>
      </c>
    </row>
    <row r="638" ht="25.5" customHeight="1">
      <c r="A638" t="inlineStr">
        <is>
          <t>认知破局_优化努力的34条思维原则(知乎知名答主。 你的认知边界将决定你拥有怎样的人生。4个维度缩小你的认知差) -- 王达 -- 2020 -- 中信出版集团 -- 80ace1e199bafe4d5234c8cb7bee8dea -- Anna’s Archiv.epub</t>
        </is>
      </c>
      <c r="B638" s="2" t="str">
        <f>=HYPERLINK("https://pan.quark.cn/s/7a48946b0434", "https://pan.quark.cn/s/7a48946b0434")</f>
        <v>https://pan.quark.cn/s/7a48946b0434</v>
      </c>
      <c r="C638" t="inlineStr">
        <is>
          <t>747.4K</t>
        </is>
      </c>
      <c r="D638" t="inlineStr">
        <is>
          <t>/认知破局/思维原则/优化努力/认知边界/白领/管理者</t>
        </is>
      </c>
      <c r="E638" t="inlineStr">
        <is>
          <t>https://dcn8qexvg13r.feishu.cn/share/base/query/shrcnMqxwwRkV3NUIUxPeab3sec</t>
        </is>
      </c>
      <c r="F638" t="inlineStr">
        <is>
          <t>请添加微信：k846211</t>
        </is>
      </c>
      <c r="G638" t="inlineStr">
        <is>
          <t>2025-12-01</t>
        </is>
      </c>
    </row>
    <row r="639" ht="25.5" customHeight="1">
      <c r="A639" t="inlineStr">
        <is>
          <t>罗织经 (来俊臣) (Z-Library).pdf</t>
        </is>
      </c>
      <c r="B639" s="2" t="str">
        <f>=HYPERLINK("https://pan.quark.cn/s/f70e8c2d1e96", "https://pan.quark.cn/s/f70e8c2d1e96")</f>
        <v>https://pan.quark.cn/s/f70e8c2d1e96</v>
      </c>
      <c r="C639" t="inlineStr">
        <is>
          <t>31.8M</t>
        </is>
      </c>
      <c r="D639" t="inlineStr">
        <is>
          <t>/罗织经/来俊臣/权谋/历史文献/管理者/特定行业从业者</t>
        </is>
      </c>
      <c r="E639" t="inlineStr">
        <is>
          <t>https://dcn8qexvg13r.feishu.cn/share/base/query/shrcnMqxwwRkV3NUIUxPeab3sec</t>
        </is>
      </c>
      <c r="F639" t="inlineStr">
        <is>
          <t>请添加微信：k846211</t>
        </is>
      </c>
      <c r="G639" t="inlineStr">
        <is>
          <t>2025-12-01</t>
        </is>
      </c>
    </row>
    <row r="640" ht="25.5" customHeight="1">
      <c r="A640" t="inlineStr">
        <is>
          <t>我的教育故事 Wo de jiao yu gu shi -- 于永正 著; 任然编 译 -- Di 1 ban, 上海 Shanghai, 2018 -- 上海教育出版社有限公司 Shanghai jiao yu chu ban she you xian gong si -- 9787544487368 -- a72c8e278b40a319b05b0acef8cce7d8 -- An.pdf</t>
        </is>
      </c>
      <c r="B640" s="2" t="str">
        <f>=HYPERLINK("https://pan.quark.cn/s/8b209b9a6075", "https://pan.quark.cn/s/8b209b9a6075")</f>
        <v>https://pan.quark.cn/s/8b209b9a6075</v>
      </c>
      <c r="C640" t="inlineStr">
        <is>
          <t>31M</t>
        </is>
      </c>
      <c r="D640" t="inlineStr">
        <is>
          <t>/教育故事/教育经验/K12/教师/宝妈/家长群体/学龄儿童家长</t>
        </is>
      </c>
      <c r="E640" t="inlineStr">
        <is>
          <t>https://dcn8qexvg13r.feishu.cn/share/base/query/shrcnMqxwwRkV3NUIUxPeab3sec</t>
        </is>
      </c>
      <c r="F640" t="inlineStr">
        <is>
          <t>请添加微信：k846211</t>
        </is>
      </c>
      <c r="G640" t="inlineStr">
        <is>
          <t>2025-12-01</t>
        </is>
      </c>
    </row>
    <row r="641" ht="25.5" customHeight="1">
      <c r="A641" t="inlineStr">
        <is>
          <t>破局 _ 成为有优势的人 -- 陈韵棋主编; 陈韵棋 -- Di 1 ban, Wuhan, 2022 -- 华中科技大学出版社 -- 9787568077736 -- 51680d8fbd1e193fa42422a1be34874f -- Anna’s Archive.pdf</t>
        </is>
      </c>
      <c r="B641" s="2" t="str">
        <f>=HYPERLINK("https://pan.quark.cn/s/1b211401af0a", "https://pan.quark.cn/s/1b211401af0a")</f>
        <v>https://pan.quark.cn/s/1b211401af0a</v>
      </c>
      <c r="C641" t="inlineStr">
        <is>
          <t>15.6M</t>
        </is>
      </c>
      <c r="D641" t="inlineStr">
        <is>
          <t>/破局/个人优势/成功/励志/白领/管理者</t>
        </is>
      </c>
      <c r="E641" t="inlineStr">
        <is>
          <t>https://dcn8qexvg13r.feishu.cn/share/base/query/shrcnMqxwwRkV3NUIUxPeab3sec</t>
        </is>
      </c>
      <c r="F641" t="inlineStr">
        <is>
          <t>请添加微信：k846211</t>
        </is>
      </c>
      <c r="G641" t="inlineStr">
        <is>
          <t>2025-12-01</t>
        </is>
      </c>
    </row>
    <row r="642" ht="25.5" customHeight="1">
      <c r="A642" t="inlineStr">
        <is>
          <t>怎样洞察别人 (尼伦伯格，卡莱罗著；蔡庆兰译) (Z-Library).pdf</t>
        </is>
      </c>
      <c r="B642" s="2" t="str">
        <f>=HYPERLINK("https://pan.quark.cn/s/15312032321c", "https://pan.quark.cn/s/15312032321c")</f>
        <v>https://pan.quark.cn/s/15312032321c</v>
      </c>
      <c r="C642" t="inlineStr">
        <is>
          <t>5.4M</t>
        </is>
      </c>
      <c r="D642" t="inlineStr">
        <is>
          <t>/人际洞察/心理学/沟通技巧/职场社交/白领/管理者</t>
        </is>
      </c>
      <c r="E642" t="inlineStr">
        <is>
          <t>https://dcn8qexvg13r.feishu.cn/share/base/query/shrcnMqxwwRkV3NUIUxPeab3sec</t>
        </is>
      </c>
      <c r="F642" t="inlineStr">
        <is>
          <t>请添加微信：k846211</t>
        </is>
      </c>
      <c r="G642" t="inlineStr">
        <is>
          <t>2025-12-01</t>
        </is>
      </c>
    </row>
    <row r="643" ht="25.5" customHeight="1">
      <c r="A643" t="inlineStr">
        <is>
          <t>《自我破局》 -- 自制 -- fa8dcfdc77b6c734293cce9a815009d7 -- Anna’s Archive.pdf</t>
        </is>
      </c>
      <c r="B643" s="2" t="str">
        <f>=HYPERLINK("https://pan.quark.cn/s/250ac2efe2db", "https://pan.quark.cn/s/250ac2efe2db")</f>
        <v>https://pan.quark.cn/s/250ac2efe2db</v>
      </c>
      <c r="C643" t="inlineStr">
        <is>
          <t>4.6M</t>
        </is>
      </c>
      <c r="D643" t="inlineStr">
        <is>
          <t>/自我破局/自制内容/个人成长/白领/管理者</t>
        </is>
      </c>
      <c r="E643" t="inlineStr">
        <is>
          <t>https://dcn8qexvg13r.feishu.cn/share/base/query/shrcnMqxwwRkV3NUIUxPeab3sec</t>
        </is>
      </c>
      <c r="F643" t="inlineStr">
        <is>
          <t>请添加微信：k846211</t>
        </is>
      </c>
      <c r="G643" t="inlineStr">
        <is>
          <t>2025-12-01</t>
        </is>
      </c>
    </row>
    <row r="644" ht="25.5" customHeight="1">
      <c r="A644" t="inlineStr">
        <is>
          <t>思维破局 -- 马华兴 -- Di 1 ban, Beijing, 2018 -- 北京联合出版公司 -- 9787559623874 -- 20c286faba582dc8838a5cc39c683866 -- Anna’s Archive.mobi</t>
        </is>
      </c>
      <c r="B644" s="2" t="str">
        <f>=HYPERLINK("https://pan.quark.cn/s/a1debb8dcbc1", "https://pan.quark.cn/s/a1debb8dcbc1")</f>
        <v>https://pan.quark.cn/s/a1debb8dcbc1</v>
      </c>
      <c r="C644" t="inlineStr">
        <is>
          <t>4.2M</t>
        </is>
      </c>
      <c r="D644" t="inlineStr">
        <is>
          <t>/思维破局/自我提升/职业发展/白领/管理者</t>
        </is>
      </c>
      <c r="E644" t="inlineStr">
        <is>
          <t>https://dcn8qexvg13r.feishu.cn/share/base/query/shrcnMqxwwRkV3NUIUxPeab3sec</t>
        </is>
      </c>
      <c r="F644" t="inlineStr">
        <is>
          <t>请添加微信：k846211</t>
        </is>
      </c>
      <c r="G644" t="inlineStr">
        <is>
          <t>2025-12-01</t>
        </is>
      </c>
    </row>
    <row r="645" ht="25.5" customHeight="1">
      <c r="A645" t="inlineStr">
        <is>
          <t>《约会秘籍》高级篇 -- 微软用户 -- 2015 -- 188e43d46e51ada46873d405a32c7556 -- Anna’s Archive.mobi</t>
        </is>
      </c>
      <c r="B645" s="2" t="str">
        <f>=HYPERLINK("https://pan.quark.cn/s/da8665909874", "https://pan.quark.cn/s/da8665909874")</f>
        <v>https://pan.quark.cn/s/da8665909874</v>
      </c>
      <c r="C645" t="inlineStr">
        <is>
          <t>292.9K</t>
        </is>
      </c>
      <c r="D645" t="inlineStr">
        <is>
          <t>/约会/情感社交/指南/技巧/白领/其他</t>
        </is>
      </c>
      <c r="E645" t="inlineStr">
        <is>
          <t>https://dcn8qexvg13r.feishu.cn/share/base/query/shrcnMqxwwRkV3NUIUxPeab3sec</t>
        </is>
      </c>
      <c r="F645" t="inlineStr">
        <is>
          <t>请添加微信：k846211</t>
        </is>
      </c>
      <c r="G645" t="inlineStr">
        <is>
          <t>2025-12-01</t>
        </is>
      </c>
    </row>
    <row r="646" ht="25.5" customHeight="1">
      <c r="A646" t="inlineStr">
        <is>
          <t>秘术破局 -- Unknown &amp; chenjin5_com -- 2015 -- cj5 -- e61f14f05f94a260accb3376de5ec202 -- Anna’s Archive.epub</t>
        </is>
      </c>
      <c r="B646" s="2" t="str">
        <f>=HYPERLINK("https://pan.quark.cn/s/f828d7ed1d6c", "https://pan.quark.cn/s/f828d7ed1d6c")</f>
        <v>https://pan.quark.cn/s/f828d7ed1d6c</v>
      </c>
      <c r="C646" t="inlineStr">
        <is>
          <t>3M</t>
        </is>
      </c>
      <c r="D646" t="inlineStr">
        <is>
          <t>/秘术/破局/策略/epub/其他</t>
        </is>
      </c>
      <c r="E646" t="inlineStr">
        <is>
          <t>https://dcn8qexvg13r.feishu.cn/share/base/query/shrcnMqxwwRkV3NUIUxPeab3sec</t>
        </is>
      </c>
      <c r="F646" t="inlineStr">
        <is>
          <t>请添加微信：k846211</t>
        </is>
      </c>
      <c r="G646" t="inlineStr">
        <is>
          <t>2025-12-01</t>
        </is>
      </c>
    </row>
    <row r="647" ht="25.5" customHeight="1">
      <c r="A647" t="inlineStr">
        <is>
          <t>烧掉你的商业计划书 -- 余襄子 -- 1, 2023 -- 北京联合出版公司 -- d2f076624945b4e79172235a7b7efe94 -- Anna’s Archive.pdf</t>
        </is>
      </c>
      <c r="B647" s="2" t="str">
        <f>=HYPERLINK("https://pan.quark.cn/s/32712457606a", "https://pan.quark.cn/s/32712457606a")</f>
        <v>https://pan.quark.cn/s/32712457606a</v>
      </c>
      <c r="C647" t="inlineStr">
        <is>
          <t>1.8M</t>
        </is>
      </c>
      <c r="D647" t="inlineStr">
        <is>
          <t>/商业计划/创业指导/企业管理/实用指南/管理者/特定行业从业者</t>
        </is>
      </c>
      <c r="E647" t="inlineStr">
        <is>
          <t>https://dcn8qexvg13r.feishu.cn/share/base/query/shrcnMqxwwRkV3NUIUxPeab3sec</t>
        </is>
      </c>
      <c r="F647" t="inlineStr">
        <is>
          <t>请添加微信：k846211</t>
        </is>
      </c>
      <c r="G647" t="inlineStr">
        <is>
          <t>2025-12-01</t>
        </is>
      </c>
    </row>
    <row r="648" ht="25.5" customHeight="1">
      <c r="A648" t="inlineStr">
        <is>
          <t>我不是教你诈(1-5合集) (刘墉) (Z-Library).pdf</t>
        </is>
      </c>
      <c r="B648" s="2" t="str">
        <f>=HYPERLINK("https://pan.quark.cn/s/0075f3ad8156", "https://pan.quark.cn/s/0075f3ad8156")</f>
        <v>https://pan.quark.cn/s/0075f3ad8156</v>
      </c>
      <c r="C648" t="inlineStr">
        <is>
          <t>1.9M</t>
        </is>
      </c>
      <c r="D648" t="inlineStr">
        <is>
          <t>/人际交往/处世智慧/刘墉/白领/管理者</t>
        </is>
      </c>
      <c r="E648" t="inlineStr">
        <is>
          <t>https://dcn8qexvg13r.feishu.cn/share/base/query/shrcnMqxwwRkV3NUIUxPeab3sec</t>
        </is>
      </c>
      <c r="F648" t="inlineStr">
        <is>
          <t>请添加微信：k846211</t>
        </is>
      </c>
      <c r="G648" t="inlineStr">
        <is>
          <t>2025-12-01</t>
        </is>
      </c>
    </row>
    <row r="649" ht="25.5" customHeight="1">
      <c r="A649" t="inlineStr">
        <is>
          <t>复杂世界的明白人【全网千万粉丝自媒体大V九边全新力作!一本变局时代的个人破局指南。帮你打造个人破局“快速通道”,集中解决 -- 九边 -- 2021 -- 北京联合出版公司 -- 20220220 -- 40eabce90a18c.epub</t>
        </is>
      </c>
      <c r="B649" s="2" t="str">
        <f>=HYPERLINK("https://pan.quark.cn/s/0bf95f08431c", "https://pan.quark.cn/s/0bf95f08431c")</f>
        <v>https://pan.quark.cn/s/0bf95f08431c</v>
      </c>
      <c r="C649" t="inlineStr">
        <is>
          <t>359.6K</t>
        </is>
      </c>
      <c r="D649" t="inlineStr">
        <is>
          <t>/个人破局/变局时代/指南/自媒体/白领/管理者</t>
        </is>
      </c>
      <c r="E649" t="inlineStr">
        <is>
          <t>https://dcn8qexvg13r.feishu.cn/share/base/query/shrcnMqxwwRkV3NUIUxPeab3sec</t>
        </is>
      </c>
      <c r="F649" t="inlineStr">
        <is>
          <t>请添加微信：k846211</t>
        </is>
      </c>
      <c r="G649" t="inlineStr">
        <is>
          <t>2025-12-01</t>
        </is>
      </c>
    </row>
    <row r="650" ht="25.5" customHeight="1">
      <c r="A650" t="inlineStr">
        <is>
          <t>破局 _ 超越同龄人的思考与行动指南 Po ju _ Chao yue tong ling ren de si kao -- 哈叔, author -- Di 1 ban, 北京 Beijing, 2019 -- 人民邮电出版社 Ren min you dian chu ban she -- 9787115521392 -- a054d38c2dccec5e44e2096961fed804 -.pdf</t>
        </is>
      </c>
      <c r="B650" s="2" t="str">
        <f>=HYPERLINK("https://pan.quark.cn/s/2f3b4347468c", "https://pan.quark.cn/s/2f3b4347468c")</f>
        <v>https://pan.quark.cn/s/2f3b4347468c</v>
      </c>
      <c r="C650" t="inlineStr">
        <is>
          <t>1.1M</t>
        </is>
      </c>
      <c r="D650" t="inlineStr">
        <is>
          <t>/思考指南/行动指南/个人成长/自我提升/白领/管理者</t>
        </is>
      </c>
      <c r="E650" t="inlineStr">
        <is>
          <t>https://dcn8qexvg13r.feishu.cn/share/base/query/shrcnMqxwwRkV3NUIUxPeab3sec</t>
        </is>
      </c>
      <c r="F650" t="inlineStr">
        <is>
          <t>请添加微信：k846211</t>
        </is>
      </c>
      <c r="G650" t="inlineStr">
        <is>
          <t>2025-12-01</t>
        </is>
      </c>
    </row>
    <row r="651" ht="25.5" customHeight="1">
      <c r="A651" t="inlineStr">
        <is>
          <t>个体突围_真正的高手,都有破局思维 -- 艾玛・加侬(Emma Gannon) -- 2019 -- chenjin5_com 万千书友聚集地 -- a5f08a204200a77691a73bdbdaaa3c52 -- Anna’s Archive.epub</t>
        </is>
      </c>
      <c r="B651" s="2" t="str">
        <f>=HYPERLINK("https://pan.quark.cn/s/728bfc79959e", "https://pan.quark.cn/s/728bfc79959e")</f>
        <v>https://pan.quark.cn/s/728bfc79959e</v>
      </c>
      <c r="C651" t="inlineStr">
        <is>
          <t>742.7K</t>
        </is>
      </c>
      <c r="D651" t="inlineStr">
        <is>
          <t>/个体突围/破局思维/成功学/epub/白领/管理者</t>
        </is>
      </c>
      <c r="E651" t="inlineStr">
        <is>
          <t>https://dcn8qexvg13r.feishu.cn/share/base/query/shrcnMqxwwRkV3NUIUxPeab3sec</t>
        </is>
      </c>
      <c r="F651" t="inlineStr">
        <is>
          <t>请添加微信：k846211</t>
        </is>
      </c>
      <c r="G651" t="inlineStr">
        <is>
          <t>2025-12-01</t>
        </is>
      </c>
    </row>
    <row r="652" ht="25.5" customHeight="1">
      <c r="A652" t="inlineStr">
        <is>
          <t>你不可不知的人性 (刘墉) (Z-Library).epub</t>
        </is>
      </c>
      <c r="B652" s="2" t="str">
        <f>=HYPERLINK("https://pan.quark.cn/s/8c151531e6ed", "https://pan.quark.cn/s/8c151531e6ed")</f>
        <v>https://pan.quark.cn/s/8c151531e6ed</v>
      </c>
      <c r="C652" t="inlineStr">
        <is>
          <t>264.5K</t>
        </is>
      </c>
      <c r="D652" t="inlineStr">
        <is>
          <t>/人性/心理学/刘墉/社科读物/白领/管理者</t>
        </is>
      </c>
      <c r="E652" t="inlineStr">
        <is>
          <t>https://dcn8qexvg13r.feishu.cn/share/base/query/shrcnMqxwwRkV3NUIUxPeab3sec</t>
        </is>
      </c>
      <c r="F652" t="inlineStr">
        <is>
          <t>请添加微信：k846211</t>
        </is>
      </c>
      <c r="G652" t="inlineStr">
        <is>
          <t>2025-12-01</t>
        </is>
      </c>
    </row>
    <row r="653" ht="25.5" customHeight="1">
      <c r="A653" t="inlineStr">
        <is>
          <t>认知破局 -- 张琦 -- 96da7e6ece2a7f771965fa8cd76498a0 -- Anna’s Archive.epub</t>
        </is>
      </c>
      <c r="B653" s="2" t="str">
        <f>=HYPERLINK("https://pan.quark.cn/s/a6f1189f9343", "https://pan.quark.cn/s/a6f1189f9343")</f>
        <v>https://pan.quark.cn/s/a6f1189f9343</v>
      </c>
      <c r="C653" t="inlineStr">
        <is>
          <t>371.8K</t>
        </is>
      </c>
      <c r="D653" t="inlineStr">
        <is>
          <t>/认知破局/自我提升/个人成长/epub/白领/管理者</t>
        </is>
      </c>
      <c r="E653" t="inlineStr">
        <is>
          <t>https://dcn8qexvg13r.feishu.cn/share/base/query/shrcnMqxwwRkV3NUIUxPeab3sec</t>
        </is>
      </c>
      <c r="F653" t="inlineStr">
        <is>
          <t>请添加微信：k846211</t>
        </is>
      </c>
      <c r="G653" t="inlineStr">
        <is>
          <t>2025-12-01</t>
        </is>
      </c>
    </row>
    <row r="654" ht="25.5" customHeight="1">
      <c r="A654" t="inlineStr">
        <is>
          <t>做人要有心机做事要有心计(全集) (吕叔春 [吕叔春]) (Z-Library).epub</t>
        </is>
      </c>
      <c r="B654" s="2" t="str">
        <f>=HYPERLINK("https://pan.quark.cn/s/0c58f18bdac7", "https://pan.quark.cn/s/0c58f18bdac7")</f>
        <v>https://pan.quark.cn/s/0c58f18bdac7</v>
      </c>
      <c r="C654" t="inlineStr">
        <is>
          <t>691K</t>
        </is>
      </c>
      <c r="D654" t="inlineStr">
        <is>
          <t>/心机/心计/为人处世/职场生存/白领/管理者</t>
        </is>
      </c>
      <c r="E654" t="inlineStr">
        <is>
          <t>https://dcn8qexvg13r.feishu.cn/share/base/query/shrcnMqxwwRkV3NUIUxPeab3sec</t>
        </is>
      </c>
      <c r="F654" t="inlineStr">
        <is>
          <t>请添加微信：k846211</t>
        </is>
      </c>
      <c r="G654" t="inlineStr">
        <is>
          <t>2025-12-01</t>
        </is>
      </c>
    </row>
    <row r="655" ht="25.5" customHeight="1">
      <c r="A655" t="inlineStr">
        <is>
          <t>穷人缺什么 (黄奕) (Z-Library).epub</t>
        </is>
      </c>
      <c r="B655" s="2" t="str">
        <f>=HYPERLINK("https://pan.quark.cn/s/8e404eef0eed", "https://pan.quark.cn/s/8e404eef0eed")</f>
        <v>https://pan.quark.cn/s/8e404eef0eed</v>
      </c>
      <c r="C655" t="inlineStr">
        <is>
          <t>331.2K</t>
        </is>
      </c>
      <c r="D655" t="inlineStr">
        <is>
          <t>/穷人/财富/黄奕/epub/白领/管理者</t>
        </is>
      </c>
      <c r="E655" t="inlineStr">
        <is>
          <t>https://dcn8qexvg13r.feishu.cn/share/base/query/shrcnMqxwwRkV3NUIUxPeab3sec</t>
        </is>
      </c>
      <c r="F655" t="inlineStr">
        <is>
          <t>请添加微信：k846211</t>
        </is>
      </c>
      <c r="G655" t="inlineStr">
        <is>
          <t>2025-12-01</t>
        </is>
      </c>
    </row>
    <row r="656" ht="25.5" customHeight="1">
      <c r="A656" t="inlineStr">
        <is>
          <t>这样说话最有效 -- 李元秀主编; 李元秀 -- Cheng gong li zhi jing dian cong shu, 呼和浩特 Hu he huo hao te, -- 呼和浩特_内蒙古人民出版社 -- 9787204061617 .pdf</t>
        </is>
      </c>
      <c r="B656" s="2" t="str">
        <f>=HYPERLINK("https://pan.quark.cn/s/819b836caba7", "https://pan.quark.cn/s/819b836caba7")</f>
        <v>https://pan.quark.cn/s/819b836caba7</v>
      </c>
      <c r="C656" t="inlineStr">
        <is>
          <t>0</t>
        </is>
      </c>
      <c r="D656" t="inlineStr">
        <is>
          <t>/沟通技巧/有效表达/语言艺术/白领/管理者</t>
        </is>
      </c>
      <c r="E656" t="inlineStr">
        <is>
          <t>https://dcn8qexvg13r.feishu.cn/share/base/query/shrcnMqxwwRkV3NUIUxPeab3sec</t>
        </is>
      </c>
      <c r="F656" t="inlineStr">
        <is>
          <t>请添加微信：k846211</t>
        </is>
      </c>
      <c r="G656" t="inlineStr">
        <is>
          <t>2025-12-01</t>
        </is>
      </c>
    </row>
    <row r="657" ht="25.5" customHeight="1">
      <c r="A657" t="inlineStr">
        <is>
          <t>2025秋 期末摸底诊断卷(1年级语文)(2)</t>
        </is>
      </c>
      <c r="B657" s="2" t="str">
        <f>=HYPERLINK("https://pan.quark.cn/s/6da8dfbcb98e", "https://pan.quark.cn/s/6da8dfbcb98e")</f>
        <v>https://pan.quark.cn/s/6da8dfbcb98e</v>
      </c>
      <c r="C657" t="inlineStr">
        <is>
          <t>10.3M</t>
        </is>
      </c>
      <c r="D657" t="inlineStr">
        <is>
          <t>/1年级语文/期末摸底/诊断卷/K12/学龄儿童家长</t>
        </is>
      </c>
      <c r="E657" t="inlineStr">
        <is>
          <t>https://dcn8qexvg13r.feishu.cn/share/base/query/shrcnMqxwwRkV3NUIUxPeab3sec</t>
        </is>
      </c>
      <c r="F657" t="inlineStr">
        <is>
          <t>请添加微信：k846211</t>
        </is>
      </c>
      <c r="G657" t="inlineStr">
        <is>
          <t>2025-12-01</t>
        </is>
      </c>
    </row>
    <row r="658" ht="25.5" customHeight="1">
      <c r="A658" t="inlineStr">
        <is>
          <t>2025秋 期末摸底诊断卷(2年级语文)(2)</t>
        </is>
      </c>
      <c r="B658" s="2" t="str">
        <f>=HYPERLINK("https://pan.quark.cn/s/acea3d0bffed", "https://pan.quark.cn/s/acea3d0bffed")</f>
        <v>https://pan.quark.cn/s/acea3d0bffed</v>
      </c>
      <c r="C658" t="inlineStr">
        <is>
          <t>9M</t>
        </is>
      </c>
      <c r="D658" t="inlineStr">
        <is>
          <t>/2年级语文/期末摸底/诊断卷/小学二年级/K12/学龄儿童家长</t>
        </is>
      </c>
      <c r="E658" t="inlineStr">
        <is>
          <t>https://dcn8qexvg13r.feishu.cn/share/base/query/shrcnMqxwwRkV3NUIUxPeab3sec</t>
        </is>
      </c>
      <c r="F658" t="inlineStr">
        <is>
          <t>请添加微信：k846211</t>
        </is>
      </c>
      <c r="G658" t="inlineStr">
        <is>
          <t>2025-12-01</t>
        </is>
      </c>
    </row>
    <row r="659" ht="25.5" customHeight="1">
      <c r="A659" t="inlineStr">
        <is>
          <t>2025秋 期末摸底诊断卷(3年级语文)(2)</t>
        </is>
      </c>
      <c r="B659" s="2" t="str">
        <f>=HYPERLINK("https://pan.quark.cn/s/f81be167621f", "https://pan.quark.cn/s/f81be167621f")</f>
        <v>https://pan.quark.cn/s/f81be167621f</v>
      </c>
      <c r="C659" t="inlineStr">
        <is>
          <t>11.4M</t>
        </is>
      </c>
      <c r="D659" t="inlineStr">
        <is>
          <t>/3年级语文/期末摸底/诊断卷/小学/学龄儿童家长/K12</t>
        </is>
      </c>
      <c r="E659" t="inlineStr">
        <is>
          <t>https://dcn8qexvg13r.feishu.cn/share/base/query/shrcnMqxwwRkV3NUIUxPeab3sec</t>
        </is>
      </c>
      <c r="F659" t="inlineStr">
        <is>
          <t>请添加微信：k846211</t>
        </is>
      </c>
      <c r="G659" t="inlineStr">
        <is>
          <t>2025-12-01</t>
        </is>
      </c>
    </row>
    <row r="660" ht="25.5" customHeight="1">
      <c r="A660" t="inlineStr">
        <is>
          <t>2025秋 期末摸底诊断卷(4年级语文)(2)</t>
        </is>
      </c>
      <c r="B660" s="2" t="str">
        <f>=HYPERLINK("https://pan.quark.cn/s/1f86dbc254fe", "https://pan.quark.cn/s/1f86dbc254fe")</f>
        <v>https://pan.quark.cn/s/1f86dbc254fe</v>
      </c>
      <c r="C660" t="inlineStr">
        <is>
          <t>10.9M</t>
        </is>
      </c>
      <c r="D660" t="inlineStr">
        <is>
          <t>/四年级语文/期末摸底/诊断卷/语文学习/K12/学龄儿童家长</t>
        </is>
      </c>
      <c r="E660" t="inlineStr">
        <is>
          <t>https://dcn8qexvg13r.feishu.cn/share/base/query/shrcnMqxwwRkV3NUIUxPeab3sec</t>
        </is>
      </c>
      <c r="F660" t="inlineStr">
        <is>
          <t>请添加微信：k846211</t>
        </is>
      </c>
      <c r="G660" t="inlineStr">
        <is>
          <t>2025-12-01</t>
        </is>
      </c>
    </row>
    <row r="661" ht="25.5" customHeight="1">
      <c r="A661" t="inlineStr">
        <is>
          <t>2025秋 期末摸底诊断卷(5年级语文)</t>
        </is>
      </c>
      <c r="B661" s="2" t="str">
        <f>=HYPERLINK("https://pan.quark.cn/s/7f0a8993a3df", "https://pan.quark.cn/s/7f0a8993a3df")</f>
        <v>https://pan.quark.cn/s/7f0a8993a3df</v>
      </c>
      <c r="C661" t="inlineStr">
        <is>
          <t>17.8M</t>
        </is>
      </c>
      <c r="D661" t="inlineStr">
        <is>
          <t>/五年级语文/期末摸底/诊断卷/语文学习/K12/学龄儿童家长</t>
        </is>
      </c>
      <c r="E661" t="inlineStr">
        <is>
          <t>https://dcn8qexvg13r.feishu.cn/share/base/query/shrcnMqxwwRkV3NUIUxPeab3sec</t>
        </is>
      </c>
      <c r="F661" t="inlineStr">
        <is>
          <t>请添加微信：k846211</t>
        </is>
      </c>
      <c r="G661" t="inlineStr">
        <is>
          <t>2025-12-01</t>
        </is>
      </c>
    </row>
    <row r="662" ht="25.5" customHeight="1">
      <c r="A662" t="inlineStr">
        <is>
          <t>2025秋 期末摸底诊断卷(6年级语文)(2)</t>
        </is>
      </c>
      <c r="B662" s="2" t="str">
        <f>=HYPERLINK("https://pan.quark.cn/s/d0ae502acb0f", "https://pan.quark.cn/s/d0ae502acb0f")</f>
        <v>https://pan.quark.cn/s/d0ae502acb0f</v>
      </c>
      <c r="C662" t="inlineStr">
        <is>
          <t>12.7M</t>
        </is>
      </c>
      <c r="D662" t="inlineStr">
        <is>
          <t>/六年级语文/期末摸底/诊断卷/语文学习/K12/学龄儿童家长</t>
        </is>
      </c>
      <c r="E662" t="inlineStr">
        <is>
          <t>https://dcn8qexvg13r.feishu.cn/share/base/query/shrcnMqxwwRkV3NUIUxPeab3sec</t>
        </is>
      </c>
      <c r="F662" t="inlineStr">
        <is>
          <t>请添加微信：k846211</t>
        </is>
      </c>
      <c r="G662" t="inlineStr">
        <is>
          <t>2025-12-01</t>
        </is>
      </c>
    </row>
    <row r="663" ht="25.5" customHeight="1">
      <c r="A663" t="inlineStr">
        <is>
          <t>一年级上册人教版数学1-6单元必背笔记.pdf</t>
        </is>
      </c>
      <c r="B663" s="2" t="str">
        <f>=HYPERLINK("https://pan.quark.cn/s/bc7ff296bffd", "https://pan.quark.cn/s/bc7ff296bffd")</f>
        <v>https://pan.quark.cn/s/bc7ff296bffd</v>
      </c>
      <c r="C663" t="inlineStr">
        <is>
          <t>4M</t>
        </is>
      </c>
      <c r="D663" t="inlineStr">
        <is>
          <t>/一年级数学/人教版/1-6单元/必背笔记/K12/学龄儿童家长</t>
        </is>
      </c>
      <c r="E663" t="inlineStr">
        <is>
          <t>https://dcn8qexvg13r.feishu.cn/share/base/query/shrcnMqxwwRkV3NUIUxPeab3sec</t>
        </is>
      </c>
      <c r="F663" t="inlineStr">
        <is>
          <t>请添加微信：k846211</t>
        </is>
      </c>
      <c r="G663" t="inlineStr">
        <is>
          <t>2025-12-01</t>
        </is>
      </c>
    </row>
    <row r="664" ht="25.5" customHeight="1">
      <c r="A664" t="inlineStr">
        <is>
          <t>新版二上数学必背公式知识点汇总（8页）.pdf</t>
        </is>
      </c>
      <c r="B664" s="2" t="str">
        <f>=HYPERLINK("https://pan.quark.cn/s/9ca96ea3d6a8", "https://pan.quark.cn/s/9ca96ea3d6a8")</f>
        <v>https://pan.quark.cn/s/9ca96ea3d6a8</v>
      </c>
      <c r="C664" t="inlineStr">
        <is>
          <t>5.3M</t>
        </is>
      </c>
      <c r="D664" t="inlineStr">
        <is>
          <t>/二年级数学/公式/知识点/K12/学龄儿童家长</t>
        </is>
      </c>
      <c r="E664" t="inlineStr">
        <is>
          <t>https://dcn8qexvg13r.feishu.cn/share/base/query/shrcnMqxwwRkV3NUIUxPeab3sec</t>
        </is>
      </c>
      <c r="F664" t="inlineStr">
        <is>
          <t>请添加微信：k846211</t>
        </is>
      </c>
      <c r="G664" t="inlineStr">
        <is>
          <t>2025-12-01</t>
        </is>
      </c>
    </row>
    <row r="665" ht="25.5" customHeight="1">
      <c r="A665" t="inlineStr">
        <is>
          <t>三年级上册人教英语每日一练.pdf</t>
        </is>
      </c>
      <c r="B665" s="2" t="str">
        <f>=HYPERLINK("https://pan.quark.cn/s/05ebcdbbc7c8", "https://pan.quark.cn/s/05ebcdbbc7c8")</f>
        <v>https://pan.quark.cn/s/05ebcdbbc7c8</v>
      </c>
      <c r="C665" t="inlineStr">
        <is>
          <t>1.1M</t>
        </is>
      </c>
      <c r="D665" t="inlineStr">
        <is>
          <t>/三年级上册/人教英语/每日一练/练习册/K12/学龄儿童家长</t>
        </is>
      </c>
      <c r="E665" t="inlineStr">
        <is>
          <t>https://dcn8qexvg13r.feishu.cn/share/base/query/shrcnMqxwwRkV3NUIUxPeab3sec</t>
        </is>
      </c>
      <c r="F665" t="inlineStr">
        <is>
          <t>请添加微信：k846211</t>
        </is>
      </c>
      <c r="G665" t="inlineStr">
        <is>
          <t>2025-12-01</t>
        </is>
      </c>
    </row>
    <row r="666" ht="25.5" customHeight="1">
      <c r="A666" t="inlineStr">
        <is>
          <t>三年级英语上册基础过关练习.pdf</t>
        </is>
      </c>
      <c r="B666" s="2" t="str">
        <f>=HYPERLINK("https://pan.quark.cn/s/e02f0223327f", "https://pan.quark.cn/s/e02f0223327f")</f>
        <v>https://pan.quark.cn/s/e02f0223327f</v>
      </c>
      <c r="C666" t="inlineStr">
        <is>
          <t>1.5M</t>
        </is>
      </c>
      <c r="D666" t="inlineStr">
        <is>
          <t>/三年级英语/基础过关/练习/英语学习/K12/学龄儿童家长</t>
        </is>
      </c>
      <c r="E666" t="inlineStr">
        <is>
          <t>https://dcn8qexvg13r.feishu.cn/share/base/query/shrcnMqxwwRkV3NUIUxPeab3sec</t>
        </is>
      </c>
      <c r="F666" t="inlineStr">
        <is>
          <t>请添加微信：k846211</t>
        </is>
      </c>
      <c r="G666" t="inlineStr">
        <is>
          <t>2025-12-01</t>
        </is>
      </c>
    </row>
    <row r="667" ht="25.5" customHeight="1">
      <c r="A667" t="inlineStr">
        <is>
          <t>【25新人教PEP四上英语暑假预习晨读晚默小纸条11天（11页）.pdf</t>
        </is>
      </c>
      <c r="B667" s="2" t="str">
        <f>=HYPERLINK("https://pan.quark.cn/s/bb21cebf4f94", "https://pan.quark.cn/s/bb21cebf4f94")</f>
        <v>https://pan.quark.cn/s/bb21cebf4f94</v>
      </c>
      <c r="C667" t="inlineStr">
        <is>
          <t>240.4K</t>
        </is>
      </c>
      <c r="D667" t="inlineStr">
        <is>
          <t>/新人教PEP/四上英语/暑假预习/晨读晚默/学龄儿童家长/K12</t>
        </is>
      </c>
      <c r="E667" t="inlineStr">
        <is>
          <t>https://dcn8qexvg13r.feishu.cn/share/base/query/shrcnMqxwwRkV3NUIUxPeab3sec</t>
        </is>
      </c>
      <c r="F667" t="inlineStr">
        <is>
          <t>请添加微信：k846211</t>
        </is>
      </c>
      <c r="G667" t="inlineStr">
        <is>
          <t>2025-12-01</t>
        </is>
      </c>
    </row>
    <row r="668" ht="25.5" customHeight="1">
      <c r="A668" t="inlineStr">
        <is>
          <t>六年级上册数学分数除法-计算突破专练.pdf</t>
        </is>
      </c>
      <c r="B668" s="2" t="str">
        <f>=HYPERLINK("https://pan.quark.cn/s/c3c498ddb7c8", "https://pan.quark.cn/s/c3c498ddb7c8")</f>
        <v>https://pan.quark.cn/s/c3c498ddb7c8</v>
      </c>
      <c r="C668" t="inlineStr">
        <is>
          <t>5.9M</t>
        </is>
      </c>
      <c r="D668" t="inlineStr">
        <is>
          <t>/六年级上册/数学/分数除法/计算突破/K12/学龄儿童家长</t>
        </is>
      </c>
      <c r="E668" t="inlineStr">
        <is>
          <t>https://dcn8qexvg13r.feishu.cn/share/base/query/shrcnMqxwwRkV3NUIUxPeab3sec</t>
        </is>
      </c>
      <c r="F668" t="inlineStr">
        <is>
          <t>请添加微信：k846211</t>
        </is>
      </c>
      <c r="G668" t="inlineStr">
        <is>
          <t>2025-12-01</t>
        </is>
      </c>
    </row>
    <row r="669" ht="25.5" customHeight="1">
      <c r="A669" t="inlineStr">
        <is>
          <t>2025秋 期末摸底诊断卷(3年级英语)(1)</t>
        </is>
      </c>
      <c r="B669" s="2" t="str">
        <f>=HYPERLINK("https://pan.quark.cn/s/33b30951ee7a", "https://pan.quark.cn/s/33b30951ee7a")</f>
        <v>https://pan.quark.cn/s/33b30951ee7a</v>
      </c>
      <c r="C669" t="inlineStr">
        <is>
          <t>21.7M</t>
        </is>
      </c>
      <c r="D669" t="inlineStr">
        <is>
          <t>/三年级英语/期末摸底/诊断卷/英语诊断/K12/学龄儿童家长</t>
        </is>
      </c>
      <c r="E669" t="inlineStr">
        <is>
          <t>https://dcn8qexvg13r.feishu.cn/share/base/query/shrcnMqxwwRkV3NUIUxPeab3sec</t>
        </is>
      </c>
      <c r="F669" t="inlineStr">
        <is>
          <t>请添加微信：k846211</t>
        </is>
      </c>
      <c r="G669" t="inlineStr">
        <is>
          <t>2025-12-01</t>
        </is>
      </c>
    </row>
    <row r="670" ht="25.5" customHeight="1">
      <c r="A670" t="inlineStr">
        <is>
          <t>2025秋 期末摸底诊断卷(4年级英语)(1)</t>
        </is>
      </c>
      <c r="B670" s="2" t="str">
        <f>=HYPERLINK("https://pan.quark.cn/s/3e485eb5b1bd", "https://pan.quark.cn/s/3e485eb5b1bd")</f>
        <v>https://pan.quark.cn/s/3e485eb5b1bd</v>
      </c>
      <c r="C670" t="inlineStr">
        <is>
          <t>23.8M</t>
        </is>
      </c>
      <c r="D670" t="inlineStr">
        <is>
          <t>/4年级英语/期末摸底/诊断卷/秋学期/K12/学龄儿童家长</t>
        </is>
      </c>
      <c r="E670" t="inlineStr">
        <is>
          <t>https://dcn8qexvg13r.feishu.cn/share/base/query/shrcnMqxwwRkV3NUIUxPeab3sec</t>
        </is>
      </c>
      <c r="F670" t="inlineStr">
        <is>
          <t>请添加微信：k846211</t>
        </is>
      </c>
      <c r="G670" t="inlineStr">
        <is>
          <t>2025-12-01</t>
        </is>
      </c>
    </row>
    <row r="671" ht="25.5" customHeight="1">
      <c r="A671" t="inlineStr">
        <is>
          <t>2025秋 期末摸底诊断卷(5年级英语)(1)</t>
        </is>
      </c>
      <c r="B671" s="2" t="str">
        <f>=HYPERLINK("https://pan.quark.cn/s/22f21088690a", "https://pan.quark.cn/s/22f21088690a")</f>
        <v>https://pan.quark.cn/s/22f21088690a</v>
      </c>
      <c r="C671" t="inlineStr">
        <is>
          <t>26.1M</t>
        </is>
      </c>
      <c r="D671" t="inlineStr">
        <is>
          <t>/五年级英语/期末摸底/诊断卷/英语诊断/K12/学龄儿童家长</t>
        </is>
      </c>
      <c r="E671" t="inlineStr">
        <is>
          <t>https://dcn8qexvg13r.feishu.cn/share/base/query/shrcnMqxwwRkV3NUIUxPeab3sec</t>
        </is>
      </c>
      <c r="F671" t="inlineStr">
        <is>
          <t>请添加微信：k846211</t>
        </is>
      </c>
      <c r="G671" t="inlineStr">
        <is>
          <t>2025-12-01</t>
        </is>
      </c>
    </row>
    <row r="672" ht="25.5" customHeight="1">
      <c r="A672" t="inlineStr">
        <is>
          <t>2025秋 期末摸底诊断卷(6年级英语)(1)(1)</t>
        </is>
      </c>
      <c r="B672" s="2" t="str">
        <f>=HYPERLINK("https://pan.quark.cn/s/89a1d04980b8", "https://pan.quark.cn/s/89a1d04980b8")</f>
        <v>https://pan.quark.cn/s/89a1d04980b8</v>
      </c>
      <c r="C672" t="inlineStr">
        <is>
          <t>29M</t>
        </is>
      </c>
      <c r="D672" t="inlineStr">
        <is>
          <t>/6年级英语/期末摸底/诊断卷/K12/学龄儿童家长</t>
        </is>
      </c>
      <c r="E672" t="inlineStr">
        <is>
          <t>https://dcn8qexvg13r.feishu.cn/share/base/query/shrcnMqxwwRkV3NUIUxPeab3sec</t>
        </is>
      </c>
      <c r="F672" t="inlineStr">
        <is>
          <t>请添加微信：k846211</t>
        </is>
      </c>
      <c r="G672" t="inlineStr">
        <is>
          <t>2025-12-01</t>
        </is>
      </c>
    </row>
    <row r="673" ht="25.5" customHeight="1">
      <c r="A673" t="inlineStr">
        <is>
          <t>2024-2025高一（7-7月题库）</t>
        </is>
      </c>
      <c r="B673" s="2" t="str">
        <f>=HYPERLINK("https://pan.quark.cn/s/3c0899eb68ac", "https://pan.quark.cn/s/3c0899eb68ac")</f>
        <v>https://pan.quark.cn/s/3c0899eb68ac</v>
      </c>
      <c r="C673" t="inlineStr">
        <is>
          <t>13G</t>
        </is>
      </c>
      <c r="D673" t="inlineStr">
        <is>
          <t>/高一/题库/2024-2025/K12/学龄儿童家长</t>
        </is>
      </c>
      <c r="E673" t="inlineStr">
        <is>
          <t>https://dcn8qexvg13r.feishu.cn/share/base/query/shrcnMqxwwRkV3NUIUxPeab3sec</t>
        </is>
      </c>
      <c r="F673" t="inlineStr">
        <is>
          <t>请添加微信：k846211</t>
        </is>
      </c>
      <c r="G673" t="inlineStr">
        <is>
          <t>2025-12-03</t>
        </is>
      </c>
    </row>
    <row r="674" ht="25.5" customHeight="1">
      <c r="A674" t="inlineStr">
        <is>
          <t>2024-2025高二（7-7月题库）</t>
        </is>
      </c>
      <c r="B674" s="2" t="str">
        <f>=HYPERLINK("https://pan.quark.cn/s/040189cc6e01", "https://pan.quark.cn/s/040189cc6e01")</f>
        <v>https://pan.quark.cn/s/040189cc6e01</v>
      </c>
      <c r="C674" t="inlineStr">
        <is>
          <t>15.7G</t>
        </is>
      </c>
      <c r="D674" t="inlineStr">
        <is>
          <t>/高二/题库/2024-2025/K12/</t>
        </is>
      </c>
      <c r="E674" t="inlineStr">
        <is>
          <t>https://dcn8qexvg13r.feishu.cn/share/base/query/shrcnMqxwwRkV3NUIUxPeab3sec</t>
        </is>
      </c>
      <c r="F674" t="inlineStr">
        <is>
          <t>请添加微信：k846211</t>
        </is>
      </c>
      <c r="G674" t="inlineStr">
        <is>
          <t>2025-12-03</t>
        </is>
      </c>
    </row>
    <row r="675" ht="25.5" customHeight="1">
      <c r="A675" t="inlineStr">
        <is>
          <t>2024-2025高三（6-6月题库）</t>
        </is>
      </c>
      <c r="B675" s="2" t="str">
        <f>=HYPERLINK("https://pan.quark.cn/s/15defde44c47", "https://pan.quark.cn/s/15defde44c47")</f>
        <v>https://pan.quark.cn/s/15defde44c47</v>
      </c>
      <c r="C675" t="inlineStr">
        <is>
          <t>67.8G</t>
        </is>
      </c>
      <c r="D675" t="inlineStr">
        <is>
          <t>/高三/题库/备考/K12</t>
        </is>
      </c>
      <c r="E675" t="inlineStr">
        <is>
          <t>https://dcn8qexvg13r.feishu.cn/share/base/query/shrcnMqxwwRkV3NUIUxPeab3sec</t>
        </is>
      </c>
      <c r="F675" t="inlineStr">
        <is>
          <t>请添加微信：k846211</t>
        </is>
      </c>
      <c r="G675" t="inlineStr">
        <is>
          <t>2025-12-03</t>
        </is>
      </c>
    </row>
    <row r="676" ht="25.5" customHeight="1">
      <c r="A676" t="inlineStr">
        <is>
          <t>1-6语上教案＋课件＋小凤，七彩</t>
        </is>
      </c>
      <c r="B676" s="2" t="str">
        <f>=HYPERLINK("https://pan.quark.cn/s/b1b6b0f8cbf9", "https://pan.quark.cn/s/b1b6b0f8cbf9")</f>
        <v>https://pan.quark.cn/s/b1b6b0f8cbf9</v>
      </c>
      <c r="C676" t="inlineStr">
        <is>
          <t>56.3G</t>
        </is>
      </c>
      <c r="D676" t="inlineStr">
        <is>
          <t>/语文/教案/课件/小学/K12/学龄儿童家长</t>
        </is>
      </c>
      <c r="E676" t="inlineStr">
        <is>
          <t>https://dcn8qexvg13r.feishu.cn/share/base/query/shrcnMqxwwRkV3NUIUxPeab3sec</t>
        </is>
      </c>
      <c r="F676" t="inlineStr">
        <is>
          <t>请添加微信：k846211</t>
        </is>
      </c>
      <c r="G676" t="inlineStr">
        <is>
          <t>2025-12-03</t>
        </is>
      </c>
    </row>
    <row r="677" ht="25.5" customHeight="1">
      <c r="A677" t="inlineStr">
        <is>
          <t>语文课件 同步作文课件</t>
        </is>
      </c>
      <c r="B677" s="2" t="str">
        <f>=HYPERLINK("https://pan.quark.cn/s/ca15dd8d4c70", "https://pan.quark.cn/s/ca15dd8d4c70")</f>
        <v>https://pan.quark.cn/s/ca15dd8d4c70</v>
      </c>
      <c r="C677" t="inlineStr">
        <is>
          <t>4.6G</t>
        </is>
      </c>
      <c r="D677" t="inlineStr">
        <is>
          <t>/语文/作文/同步课件/K12/学龄儿童家长</t>
        </is>
      </c>
      <c r="E677" t="inlineStr">
        <is>
          <t>https://dcn8qexvg13r.feishu.cn/share/base/query/shrcnMqxwwRkV3NUIUxPeab3sec</t>
        </is>
      </c>
      <c r="F677" t="inlineStr">
        <is>
          <t>请添加微信：k846211</t>
        </is>
      </c>
      <c r="G677" t="inlineStr">
        <is>
          <t>2025-12-03</t>
        </is>
      </c>
    </row>
    <row r="678" ht="25.5" customHeight="1">
      <c r="A678" t="inlineStr">
        <is>
          <t xml:space="preserve"> 美国20部高分动画电影合集 170G</t>
        </is>
      </c>
      <c r="B678" s="2" t="str">
        <f>=HYPERLINK("https://pan.quark.cn/s/c5e79019aec9", "https://pan.quark.cn/s/c5e79019aec9")</f>
        <v>https://pan.quark.cn/s/c5e79019aec9</v>
      </c>
      <c r="C678" t="inlineStr">
        <is>
          <t>151.8G</t>
        </is>
      </c>
      <c r="D678" t="inlineStr">
        <is>
          <t>/美国动画电影/高分/动画/电影/动漫/电影</t>
        </is>
      </c>
      <c r="E678" t="inlineStr">
        <is>
          <t>https://dcn8qexvg13r.feishu.cn/share/base/query/shrcnMqxwwRkV3NUIUxPeab3sec</t>
        </is>
      </c>
      <c r="F678" t="inlineStr">
        <is>
          <t>请添加微信：k846211</t>
        </is>
      </c>
      <c r="G678" t="inlineStr">
        <is>
          <t>2025-12-03</t>
        </is>
      </c>
    </row>
    <row r="679" ht="25.5" customHeight="1">
      <c r="A679" t="inlineStr">
        <is>
          <t>一本阅读6年级《每日一练》</t>
        </is>
      </c>
      <c r="B679" s="2" t="str">
        <f>=HYPERLINK("https://pan.quark.cn/s/82a0ecbe9e77", "https://pan.quark.cn/s/82a0ecbe9e77")</f>
        <v>https://pan.quark.cn/s/82a0ecbe9e77</v>
      </c>
      <c r="C679" t="inlineStr">
        <is>
          <t>8M</t>
        </is>
      </c>
      <c r="D679" t="inlineStr">
        <is>
          <t>/阅读/每日一练/六年级/K12/学龄儿童家长</t>
        </is>
      </c>
      <c r="E679" t="inlineStr">
        <is>
          <t>https://dcn8qexvg13r.feishu.cn/share/base/query/shrcnMqxwwRkV3NUIUxPeab3sec</t>
        </is>
      </c>
      <c r="F679" t="inlineStr">
        <is>
          <t>请添加微信：k846211</t>
        </is>
      </c>
      <c r="G679" t="inlineStr">
        <is>
          <t>2025-12-03</t>
        </is>
      </c>
    </row>
    <row r="680" ht="25.5" customHeight="1">
      <c r="A680" t="inlineStr">
        <is>
          <t>一本阅读5年级《每日一练》</t>
        </is>
      </c>
      <c r="B680" s="2" t="str">
        <f>=HYPERLINK("https://pan.quark.cn/s/849d57c4084a", "https://pan.quark.cn/s/849d57c4084a")</f>
        <v>https://pan.quark.cn/s/849d57c4084a</v>
      </c>
      <c r="C680" t="inlineStr">
        <is>
          <t>4.6M</t>
        </is>
      </c>
      <c r="D680" t="inlineStr">
        <is>
          <t>/阅读/五年级/每日练习/教辅/K12/学龄儿童家长</t>
        </is>
      </c>
      <c r="E680" t="inlineStr">
        <is>
          <t>https://dcn8qexvg13r.feishu.cn/share/base/query/shrcnMqxwwRkV3NUIUxPeab3sec</t>
        </is>
      </c>
      <c r="F680" t="inlineStr">
        <is>
          <t>请添加微信：k846211</t>
        </is>
      </c>
      <c r="G680" t="inlineStr">
        <is>
          <t>2025-12-03</t>
        </is>
      </c>
    </row>
    <row r="681" ht="25.5" customHeight="1">
      <c r="A681" t="inlineStr">
        <is>
          <t>一本阅读4年级《每日一练》</t>
        </is>
      </c>
      <c r="B681" s="2" t="str">
        <f>=HYPERLINK("https://pan.quark.cn/s/19b2bfb6ff8a", "https://pan.quark.cn/s/19b2bfb6ff8a")</f>
        <v>https://pan.quark.cn/s/19b2bfb6ff8a</v>
      </c>
      <c r="C681" t="inlineStr">
        <is>
          <t>6.9M</t>
        </is>
      </c>
      <c r="D681" t="inlineStr">
        <is>
          <t>/阅读/每日一练/四年级/练习册/K12/学龄儿童家长</t>
        </is>
      </c>
      <c r="E681" t="inlineStr">
        <is>
          <t>https://dcn8qexvg13r.feishu.cn/share/base/query/shrcnMqxwwRkV3NUIUxPeab3sec</t>
        </is>
      </c>
      <c r="F681" t="inlineStr">
        <is>
          <t>请添加微信：k846211</t>
        </is>
      </c>
      <c r="G681" t="inlineStr">
        <is>
          <t>2025-12-03</t>
        </is>
      </c>
    </row>
    <row r="682" ht="25.5" customHeight="1">
      <c r="A682" t="inlineStr">
        <is>
          <t>一本阅读3年级《每日一练》</t>
        </is>
      </c>
      <c r="B682" s="2" t="str">
        <f>=HYPERLINK("https://pan.quark.cn/s/4a40fc98c9ef", "https://pan.quark.cn/s/4a40fc98c9ef")</f>
        <v>https://pan.quark.cn/s/4a40fc98c9ef</v>
      </c>
      <c r="C682" t="inlineStr">
        <is>
          <t>8.4M</t>
        </is>
      </c>
      <c r="D682" t="inlineStr">
        <is>
          <t>/阅读/每日一练/三年级/K12/学龄儿童家长</t>
        </is>
      </c>
      <c r="E682" t="inlineStr">
        <is>
          <t>https://dcn8qexvg13r.feishu.cn/share/base/query/shrcnMqxwwRkV3NUIUxPeab3sec</t>
        </is>
      </c>
      <c r="F682" t="inlineStr">
        <is>
          <t>请添加微信：k846211</t>
        </is>
      </c>
      <c r="G682" t="inlineStr">
        <is>
          <t>2025-12-03</t>
        </is>
      </c>
    </row>
    <row r="683" ht="25.5" customHeight="1">
      <c r="A683" t="inlineStr">
        <is>
          <t>一本阅读2年级《每日一练》</t>
        </is>
      </c>
      <c r="B683" s="2" t="str">
        <f>=HYPERLINK("https://pan.quark.cn/s/137448424ab7", "https://pan.quark.cn/s/137448424ab7")</f>
        <v>https://pan.quark.cn/s/137448424ab7</v>
      </c>
      <c r="C683" t="inlineStr">
        <is>
          <t>4.9M</t>
        </is>
      </c>
      <c r="D683" t="inlineStr">
        <is>
          <t>/阅读/每日一练/二年级/K12/学龄儿童家长</t>
        </is>
      </c>
      <c r="E683" t="inlineStr">
        <is>
          <t>https://dcn8qexvg13r.feishu.cn/share/base/query/shrcnMqxwwRkV3NUIUxPeab3sec</t>
        </is>
      </c>
      <c r="F683" t="inlineStr">
        <is>
          <t>请添加微信：k846211</t>
        </is>
      </c>
      <c r="G683" t="inlineStr">
        <is>
          <t>2025-12-03</t>
        </is>
      </c>
    </row>
    <row r="684" ht="25.5" customHeight="1">
      <c r="A684" t="inlineStr">
        <is>
          <t>一本阅读1年级《每日一练》</t>
        </is>
      </c>
      <c r="B684" s="2" t="str">
        <f>=HYPERLINK("https://pan.quark.cn/s/a38af86adfe9", "https://pan.quark.cn/s/a38af86adfe9")</f>
        <v>https://pan.quark.cn/s/a38af86adfe9</v>
      </c>
      <c r="C684" t="inlineStr">
        <is>
          <t>5.7M</t>
        </is>
      </c>
      <c r="D684" t="inlineStr">
        <is>
          <t>/阅读/每日一练/一年级/练习册/K12/学龄儿童家长</t>
        </is>
      </c>
      <c r="E684" t="inlineStr">
        <is>
          <t>https://dcn8qexvg13r.feishu.cn/share/base/query/shrcnMqxwwRkV3NUIUxPeab3sec</t>
        </is>
      </c>
      <c r="F684" t="inlineStr">
        <is>
          <t>请添加微信：k846211</t>
        </is>
      </c>
      <c r="G684" t="inlineStr">
        <is>
          <t>2025-12-03</t>
        </is>
      </c>
    </row>
    <row r="685" ht="25.5" customHeight="1">
      <c r="A685" t="inlineStr">
        <is>
          <t>1-6年级英语外研版上下册（一起点、三起点）《衡水体字帖大全》.</t>
        </is>
      </c>
      <c r="B685" s="2" t="str">
        <f>=HYPERLINK("https://pan.quark.cn/s/077c8d6bb598", "https://pan.quark.cn/s/077c8d6bb598")</f>
        <v>https://pan.quark.cn/s/077c8d6bb598</v>
      </c>
      <c r="C685" t="inlineStr">
        <is>
          <t>11.4M</t>
        </is>
      </c>
      <c r="D685" t="inlineStr">
        <is>
          <t>/小学英语/外研版/衡水体/字帖/学龄儿童家长/K12</t>
        </is>
      </c>
      <c r="E685" t="inlineStr">
        <is>
          <t>https://dcn8qexvg13r.feishu.cn/share/base/query/shrcnMqxwwRkV3NUIUxPeab3sec</t>
        </is>
      </c>
      <c r="F685" t="inlineStr">
        <is>
          <t>请添加微信：k846211</t>
        </is>
      </c>
      <c r="G685" t="inlineStr">
        <is>
          <t>2025-12-03</t>
        </is>
      </c>
    </row>
    <row r="686" ht="25.5" customHeight="1">
      <c r="A686" t="inlineStr">
        <is>
          <t>幼升小年级语文25秋《一本预备一年级》</t>
        </is>
      </c>
      <c r="B686" s="2" t="str">
        <f>=HYPERLINK("https://pan.quark.cn/s/86e93800cf2a", "https://pan.quark.cn/s/86e93800cf2a")</f>
        <v>https://pan.quark.cn/s/86e93800cf2a</v>
      </c>
      <c r="C686" t="inlineStr">
        <is>
          <t>68.8M</t>
        </is>
      </c>
      <c r="D686" t="inlineStr">
        <is>
          <t>/幼升小/语文/预备一年级/教辅/K12/学龄儿童家长</t>
        </is>
      </c>
      <c r="E686" t="inlineStr">
        <is>
          <t>https://dcn8qexvg13r.feishu.cn/share/base/query/shrcnMqxwwRkV3NUIUxPeab3sec</t>
        </is>
      </c>
      <c r="F686" t="inlineStr">
        <is>
          <t>请添加微信：k846211</t>
        </is>
      </c>
      <c r="G686" t="inlineStr">
        <is>
          <t>2025-12-03</t>
        </is>
      </c>
    </row>
    <row r="687" ht="25.5" customHeight="1">
      <c r="A687" t="inlineStr">
        <is>
          <t>四年级数学人教版上册25秋《一本课本预习笔记》</t>
        </is>
      </c>
      <c r="B687" s="2" t="str">
        <f>=HYPERLINK("https://pan.quark.cn/s/679e6f81e0af", "https://pan.quark.cn/s/679e6f81e0af")</f>
        <v>https://pan.quark.cn/s/679e6f81e0af</v>
      </c>
      <c r="C687" t="inlineStr">
        <is>
          <t>51.9M</t>
        </is>
      </c>
      <c r="D687" t="inlineStr">
        <is>
          <t>/四年级数学/人教版上册/课本预习笔记/小学教辅/K12/学龄儿童家长</t>
        </is>
      </c>
      <c r="E687" t="inlineStr">
        <is>
          <t>https://dcn8qexvg13r.feishu.cn/share/base/query/shrcnMqxwwRkV3NUIUxPeab3sec</t>
        </is>
      </c>
      <c r="F687" t="inlineStr">
        <is>
          <t>请添加微信：k846211</t>
        </is>
      </c>
      <c r="G687" t="inlineStr">
        <is>
          <t>2025-12-03</t>
        </is>
      </c>
    </row>
    <row r="688" ht="25.5" customHeight="1">
      <c r="A688" t="inlineStr">
        <is>
          <t>一升二年级数学人教版25秋《一本预备二年级》</t>
        </is>
      </c>
      <c r="B688" s="2" t="str">
        <f>=HYPERLINK("https://pan.quark.cn/s/037fb26fc7fd", "https://pan.quark.cn/s/037fb26fc7fd")</f>
        <v>https://pan.quark.cn/s/037fb26fc7fd</v>
      </c>
      <c r="C688" t="inlineStr">
        <is>
          <t>24.1M</t>
        </is>
      </c>
      <c r="D688" t="inlineStr">
        <is>
          <t>/数学/人教版/幼小衔接/预备二年级/K12/学龄儿童家长</t>
        </is>
      </c>
      <c r="E688" t="inlineStr">
        <is>
          <t>https://dcn8qexvg13r.feishu.cn/share/base/query/shrcnMqxwwRkV3NUIUxPeab3sec</t>
        </is>
      </c>
      <c r="F688" t="inlineStr">
        <is>
          <t>请添加微信：k846211</t>
        </is>
      </c>
      <c r="G688" t="inlineStr">
        <is>
          <t>2025-12-03</t>
        </is>
      </c>
    </row>
    <row r="689" ht="25.5" customHeight="1">
      <c r="A689" t="inlineStr">
        <is>
          <t>🌸 9070 六年级语文第一次月考情境卷（3套）</t>
        </is>
      </c>
      <c r="B689" s="2" t="str">
        <f>=HYPERLINK("https://pan.quark.cn/s/e1d21a720849", "https://pan.quark.cn/s/e1d21a720849")</f>
        <v>https://pan.quark.cn/s/e1d21a720849</v>
      </c>
      <c r="C689" t="inlineStr">
        <is>
          <t>22.1M</t>
        </is>
      </c>
      <c r="D689" t="inlineStr">
        <is>
          <t>/六年级语文/月考/情境卷/语文学习/K12/学龄儿童家长</t>
        </is>
      </c>
      <c r="E689" t="inlineStr">
        <is>
          <t>https://dcn8qexvg13r.feishu.cn/share/base/query/shrcnMqxwwRkV3NUIUxPeab3sec</t>
        </is>
      </c>
      <c r="F689" t="inlineStr">
        <is>
          <t>请添加微信：k846211</t>
        </is>
      </c>
      <c r="G689" t="inlineStr">
        <is>
          <t>2025-12-03</t>
        </is>
      </c>
    </row>
    <row r="690" ht="25.5" customHeight="1">
      <c r="A690" t="inlineStr">
        <is>
          <t>06六年级数学上册第一次月考（第1-2单元）（北师大版）</t>
        </is>
      </c>
      <c r="B690" s="2" t="str">
        <f>=HYPERLINK("https://pan.quark.cn/s/f95416448efb", "https://pan.quark.cn/s/f95416448efb")</f>
        <v>https://pan.quark.cn/s/f95416448efb</v>
      </c>
      <c r="C690" t="inlineStr">
        <is>
          <t>2.7M</t>
        </is>
      </c>
      <c r="D690" t="inlineStr">
        <is>
          <t>/六年级数学/第一次月考/北师大版/第1-2单元/K12/学龄儿童家长</t>
        </is>
      </c>
      <c r="E690" t="inlineStr">
        <is>
          <t>https://dcn8qexvg13r.feishu.cn/share/base/query/shrcnMqxwwRkV3NUIUxPeab3sec</t>
        </is>
      </c>
      <c r="F690" t="inlineStr">
        <is>
          <t>请添加微信：k846211</t>
        </is>
      </c>
      <c r="G690" t="inlineStr">
        <is>
          <t>2025-12-03</t>
        </is>
      </c>
    </row>
    <row r="691" ht="25.5" customHeight="1">
      <c r="A691" t="inlineStr">
        <is>
          <t>⑦初中英语同步语法（初阶）——七年级</t>
        </is>
      </c>
      <c r="B691" s="2" t="str">
        <f>=HYPERLINK("https://pan.quark.cn/s/fccdad783441", "https://pan.quark.cn/s/fccdad783441")</f>
        <v>https://pan.quark.cn/s/fccdad783441</v>
      </c>
      <c r="C691" t="inlineStr">
        <is>
          <t>24.5G</t>
        </is>
      </c>
      <c r="D691" t="inlineStr">
        <is>
          <t>/初中英语/语法/同步学习/初阶/K12/学龄儿童家长</t>
        </is>
      </c>
      <c r="E691" t="inlineStr">
        <is>
          <t>https://dcn8qexvg13r.feishu.cn/share/base/query/shrcnMqxwwRkV3NUIUxPeab3sec</t>
        </is>
      </c>
      <c r="F691" t="inlineStr">
        <is>
          <t>请添加微信：k846211</t>
        </is>
      </c>
      <c r="G691" t="inlineStr">
        <is>
          <t>2025-12-03</t>
        </is>
      </c>
    </row>
    <row r="692" ht="25.5" customHeight="1">
      <c r="A692" t="inlineStr">
        <is>
          <t>2025中考冲刺营数学</t>
        </is>
      </c>
      <c r="B692" s="2" t="str">
        <f>=HYPERLINK("https://pan.quark.cn/s/69eee8a2c7a5", "https://pan.quark.cn/s/69eee8a2c7a5")</f>
        <v>https://pan.quark.cn/s/69eee8a2c7a5</v>
      </c>
      <c r="C692" t="inlineStr">
        <is>
          <t>33M</t>
        </is>
      </c>
      <c r="D692" t="inlineStr">
        <is>
          <t>/中考数学/冲刺营/备考/K12/学龄儿童家长</t>
        </is>
      </c>
      <c r="E692" t="inlineStr">
        <is>
          <t>https://dcn8qexvg13r.feishu.cn/share/base/query/shrcnMqxwwRkV3NUIUxPeab3sec</t>
        </is>
      </c>
      <c r="F692" t="inlineStr">
        <is>
          <t>请添加微信：k846211</t>
        </is>
      </c>
      <c r="G692" t="inlineStr">
        <is>
          <t>2025-12-03</t>
        </is>
      </c>
    </row>
    <row r="693" ht="25.5" customHeight="1">
      <c r="A693" t="inlineStr">
        <is>
          <t>53单元归类知识汇总完整版语文25年上册</t>
        </is>
      </c>
      <c r="B693" s="2" t="str">
        <f>=HYPERLINK("https://pan.quark.cn/s/4266e0f0ad0a", "https://pan.quark.cn/s/4266e0f0ad0a")</f>
        <v>https://pan.quark.cn/s/4266e0f0ad0a</v>
      </c>
      <c r="C693" t="inlineStr">
        <is>
          <t>355.6M</t>
        </is>
      </c>
      <c r="D693" t="inlineStr">
        <is>
          <t>/53单元/归类知识/语文/25年上册/K12/学龄儿童家长</t>
        </is>
      </c>
      <c r="E693" t="inlineStr">
        <is>
          <t>https://dcn8qexvg13r.feishu.cn/share/base/query/shrcnMqxwwRkV3NUIUxPeab3sec</t>
        </is>
      </c>
      <c r="F693" t="inlineStr">
        <is>
          <t>请添加微信：k846211</t>
        </is>
      </c>
      <c r="G693" t="inlineStr">
        <is>
          <t>2025-12-03</t>
        </is>
      </c>
    </row>
    <row r="694" ht="25.5" customHeight="1">
      <c r="A694" t="inlineStr">
        <is>
          <t>53单元归类复习完整版语文25年上册</t>
        </is>
      </c>
      <c r="B694" s="2" t="str">
        <f>=HYPERLINK("https://pan.quark.cn/s/6105c983a57d", "https://pan.quark.cn/s/6105c983a57d")</f>
        <v>https://pan.quark.cn/s/6105c983a57d</v>
      </c>
      <c r="C694" t="inlineStr">
        <is>
          <t>639.6M</t>
        </is>
      </c>
      <c r="D694" t="inlineStr">
        <is>
          <t>/语文/归类复习/单元练习/小学上册/五年级/K12/学龄儿童家长</t>
        </is>
      </c>
      <c r="E694" t="inlineStr">
        <is>
          <t>https://dcn8qexvg13r.feishu.cn/share/base/query/shrcnMqxwwRkV3NUIUxPeab3sec</t>
        </is>
      </c>
      <c r="F694" t="inlineStr">
        <is>
          <t>请添加微信：k846211</t>
        </is>
      </c>
      <c r="G694" t="inlineStr">
        <is>
          <t>2025-12-03</t>
        </is>
      </c>
    </row>
    <row r="695" ht="25.5" customHeight="1">
      <c r="A695" t="inlineStr">
        <is>
          <t>53归类复习完整版数学人教25年上册缺3</t>
        </is>
      </c>
      <c r="B695" s="2" t="str">
        <f>=HYPERLINK("https://pan.quark.cn/s/05109622edeb", "https://pan.quark.cn/s/05109622edeb")</f>
        <v>https://pan.quark.cn/s/05109622edeb</v>
      </c>
      <c r="C695" t="inlineStr">
        <is>
          <t>1.5G</t>
        </is>
      </c>
      <c r="D695" t="inlineStr">
        <is>
          <t>/数学/归类复习/人教版/五年级上册/K12/学龄儿童家长</t>
        </is>
      </c>
      <c r="E695" t="inlineStr">
        <is>
          <t>https://dcn8qexvg13r.feishu.cn/share/base/query/shrcnMqxwwRkV3NUIUxPeab3sec</t>
        </is>
      </c>
      <c r="F695" t="inlineStr">
        <is>
          <t>请添加微信：k846211</t>
        </is>
      </c>
      <c r="G695" t="inlineStr">
        <is>
          <t>2025-12-03</t>
        </is>
      </c>
    </row>
    <row r="696" ht="25.5" customHeight="1">
      <c r="A696" t="inlineStr">
        <is>
          <t>53归类复习完整版数学苏教25年上册</t>
        </is>
      </c>
      <c r="B696" s="2" t="str">
        <f>=HYPERLINK("https://pan.quark.cn/s/e3d296e4cdaf", "https://pan.quark.cn/s/e3d296e4cdaf")</f>
        <v>https://pan.quark.cn/s/e3d296e4cdaf</v>
      </c>
      <c r="C696" t="inlineStr">
        <is>
          <t>629.3M</t>
        </is>
      </c>
      <c r="D696" t="inlineStr">
        <is>
          <t>/数学/归类复习/苏教版/25年上册/K12/学龄儿童家长</t>
        </is>
      </c>
      <c r="E696" t="inlineStr">
        <is>
          <t>https://dcn8qexvg13r.feishu.cn/share/base/query/shrcnMqxwwRkV3NUIUxPeab3sec</t>
        </is>
      </c>
      <c r="F696" t="inlineStr">
        <is>
          <t>请添加微信：k846211</t>
        </is>
      </c>
      <c r="G696" t="inlineStr">
        <is>
          <t>2025-12-03</t>
        </is>
      </c>
    </row>
    <row r="697" ht="25.5" customHeight="1">
      <c r="A697" t="inlineStr">
        <is>
          <t>53单元归类复习完整版英语pep25年上册</t>
        </is>
      </c>
      <c r="B697" s="2" t="str">
        <f>=HYPERLINK("https://pan.quark.cn/s/5d87267b899a", "https://pan.quark.cn/s/5d87267b899a")</f>
        <v>https://pan.quark.cn/s/5d87267b899a</v>
      </c>
      <c r="C697" t="inlineStr">
        <is>
          <t>413.1M</t>
        </is>
      </c>
      <c r="D697" t="inlineStr">
        <is>
          <t>/英语PEP/53单元/归类复习/上册/K12/学龄儿童家长</t>
        </is>
      </c>
      <c r="E697" t="inlineStr">
        <is>
          <t>https://dcn8qexvg13r.feishu.cn/share/base/query/shrcnMqxwwRkV3NUIUxPeab3sec</t>
        </is>
      </c>
      <c r="F697" t="inlineStr">
        <is>
          <t>请添加微信：k846211</t>
        </is>
      </c>
      <c r="G697" t="inlineStr">
        <is>
          <t>2025-12-03</t>
        </is>
      </c>
    </row>
    <row r="698" ht="25.5" customHeight="1">
      <c r="A698" t="inlineStr">
        <is>
          <t>53单元归类复习完整版数学北师25年上册</t>
        </is>
      </c>
      <c r="B698" s="2" t="str">
        <f>=HYPERLINK("https://pan.quark.cn/s/016ae4536b84", "https://pan.quark.cn/s/016ae4536b84")</f>
        <v>https://pan.quark.cn/s/016ae4536b84</v>
      </c>
      <c r="C698" t="inlineStr">
        <is>
          <t>557.6M</t>
        </is>
      </c>
      <c r="D698" t="inlineStr">
        <is>
          <t>/数学/归类复习/北师大版/25年上册/53单元/K12/学龄儿童家长</t>
        </is>
      </c>
      <c r="E698" t="inlineStr">
        <is>
          <t>https://dcn8qexvg13r.feishu.cn/share/base/query/shrcnMqxwwRkV3NUIUxPeab3sec</t>
        </is>
      </c>
      <c r="F698" t="inlineStr">
        <is>
          <t>请添加微信：k846211</t>
        </is>
      </c>
      <c r="G698" t="inlineStr">
        <is>
          <t>2025-12-03</t>
        </is>
      </c>
    </row>
    <row r="699" ht="25.5" customHeight="1">
      <c r="A699" t="inlineStr">
        <is>
          <t>油管趣味英语科普《分钟地球 MinuteEarth》</t>
        </is>
      </c>
      <c r="B699" s="2" t="str">
        <f>=HYPERLINK("https://pan.quark.cn/s/e82b4da5f5df", "https://pan.quark.cn/s/e82b4da5f5df")</f>
        <v>https://pan.quark.cn/s/e82b4da5f5df</v>
      </c>
      <c r="C699" t="inlineStr">
        <is>
          <t>5G</t>
        </is>
      </c>
      <c r="D699" t="inlineStr">
        <is>
          <t>/趣味英语/科普/分钟地球/英语学习/K12/语言</t>
        </is>
      </c>
      <c r="E699" t="inlineStr">
        <is>
          <t>https://dcn8qexvg13r.feishu.cn/share/base/query/shrcnMqxwwRkV3NUIUxPeab3sec</t>
        </is>
      </c>
      <c r="F699" t="inlineStr">
        <is>
          <t>请添加微信：k846211</t>
        </is>
      </c>
      <c r="G699" t="inlineStr">
        <is>
          <t>2025-12-03</t>
        </is>
      </c>
    </row>
    <row r="700" ht="25.5" customHeight="1">
      <c r="A700" t="inlineStr">
        <is>
          <t>BBC泛科学科普《Hey You，What If？ (视频+音频+文本) 》</t>
        </is>
      </c>
      <c r="B700" s="2" t="str">
        <f>=HYPERLINK("https://pan.quark.cn/s/6b4fff033194", "https://pan.quark.cn/s/6b4fff033194")</f>
        <v>https://pan.quark.cn/s/6b4fff033194</v>
      </c>
      <c r="C700" t="inlineStr">
        <is>
          <t>3.6G</t>
        </is>
      </c>
      <c r="D700" t="inlineStr">
        <is>
          <t>/科学科普/泛科学/视频/音频/文本/K12/大学生</t>
        </is>
      </c>
      <c r="E700" t="inlineStr">
        <is>
          <t>https://dcn8qexvg13r.feishu.cn/share/base/query/shrcnMqxwwRkV3NUIUxPeab3sec</t>
        </is>
      </c>
      <c r="F700" t="inlineStr">
        <is>
          <t>请添加微信：k846211</t>
        </is>
      </c>
      <c r="G700" t="inlineStr">
        <is>
          <t>2025-12-03</t>
        </is>
      </c>
    </row>
    <row r="701" ht="25.5" customHeight="1">
      <c r="A701" t="inlineStr">
        <is>
          <t>英语阅读理解.PDF.pdf</t>
        </is>
      </c>
      <c r="B701" s="2" t="str">
        <f>=HYPERLINK("https://pan.quark.cn/s/ef9844aee938", "https://pan.quark.cn/s/ef9844aee938")</f>
        <v>https://pan.quark.cn/s/ef9844aee938</v>
      </c>
      <c r="C701" t="inlineStr">
        <is>
          <t>1.9M</t>
        </is>
      </c>
      <c r="D701" t="inlineStr">
        <is>
          <t>/英语/阅读理解/学习资料/K12/大学生</t>
        </is>
      </c>
      <c r="E701" t="inlineStr">
        <is>
          <t>https://dcn8qexvg13r.feishu.cn/share/base/query/shrcnMqxwwRkV3NUIUxPeab3sec</t>
        </is>
      </c>
      <c r="F701" t="inlineStr">
        <is>
          <t>请添加微信：k846211</t>
        </is>
      </c>
      <c r="G701" t="inlineStr">
        <is>
          <t>2025-12-03</t>
        </is>
      </c>
    </row>
    <row r="702" ht="25.5" customHeight="1">
      <c r="A702" t="inlineStr">
        <is>
          <t>艾美奖STEM科学启蒙动画《Elinor Wonders Why 小好奇埃莉诺  (1-9季) 》</t>
        </is>
      </c>
      <c r="B702" s="2" t="str">
        <f>=HYPERLINK("https://pan.quark.cn/s/a09b16e886d3", "https://pan.quark.cn/s/a09b16e886d3")</f>
        <v>https://pan.quark.cn/s/a09b16e886d3</v>
      </c>
      <c r="C702" t="inlineStr">
        <is>
          <t>18.1G</t>
        </is>
      </c>
      <c r="D702" t="inlineStr">
        <is>
          <t>/Elinor Wonders Why/STEM/科学启蒙/动画/学龄儿童家长/宝妈/家长群体</t>
        </is>
      </c>
      <c r="E702" t="inlineStr">
        <is>
          <t>https://dcn8qexvg13r.feishu.cn/share/base/query/shrcnMqxwwRkV3NUIUxPeab3sec</t>
        </is>
      </c>
      <c r="F702" t="inlineStr">
        <is>
          <t>请添加微信：k846211</t>
        </is>
      </c>
      <c r="G702" t="inlineStr">
        <is>
          <t>2025-12-03</t>
        </is>
      </c>
    </row>
    <row r="703" ht="25.5" customHeight="1">
      <c r="A703" t="inlineStr">
        <is>
          <t>🔥🔥🔥豆瓣9(1).5分❗这12部大语文学科纪录片狠狠提升文学素养</t>
        </is>
      </c>
      <c r="B703" s="2" t="str">
        <f>=HYPERLINK("https://pan.quark.cn/s/4cc0456a9c08", "https://pan.quark.cn/s/4cc0456a9c08")</f>
        <v>https://pan.quark.cn/s/4cc0456a9c08</v>
      </c>
      <c r="C703" t="inlineStr">
        <is>
          <t>322.1G</t>
        </is>
      </c>
      <c r="D703" t="inlineStr">
        <is>
          <t>/大语文学科/纪录片/文学素养提升/K12/学龄儿童家长</t>
        </is>
      </c>
      <c r="E703" t="inlineStr">
        <is>
          <t>https://dcn8qexvg13r.feishu.cn/share/base/query/shrcnMqxwwRkV3NUIUxPeab3sec</t>
        </is>
      </c>
      <c r="F703" t="inlineStr">
        <is>
          <t>请添加微信：k846211</t>
        </is>
      </c>
      <c r="G703" t="inlineStr">
        <is>
          <t>2025-12-03</t>
        </is>
      </c>
    </row>
    <row r="704" ht="25.5" customHeight="1">
      <c r="A704" t="inlineStr">
        <is>
          <t>Power Up</t>
        </is>
      </c>
      <c r="B704" s="2" t="str">
        <f>=HYPERLINK("https://pan.quark.cn/s/fd2fdaf4b658", "https://pan.quark.cn/s/fd2fdaf4b658")</f>
        <v>https://pan.quark.cn/s/fd2fdaf4b658</v>
      </c>
      <c r="C704" t="inlineStr">
        <is>
          <t>171.3G</t>
        </is>
      </c>
      <c r="D704" t="inlineStr">
        <is>
          <t>/能力提升/学习资源/效率工具/技能增强/大学生/白领</t>
        </is>
      </c>
      <c r="E704" t="inlineStr">
        <is>
          <t>https://dcn8qexvg13r.feishu.cn/share/base/query/shrcnMqxwwRkV3NUIUxPeab3sec</t>
        </is>
      </c>
      <c r="F704" t="inlineStr">
        <is>
          <t>请添加微信：k846211</t>
        </is>
      </c>
      <c r="G704" t="inlineStr">
        <is>
          <t>2025-12-03</t>
        </is>
      </c>
    </row>
    <row r="705" ht="25.5" customHeight="1">
      <c r="A705" t="inlineStr">
        <is>
          <t>25秋《状元大考卷》2年级上册 数学 人教版.pdf</t>
        </is>
      </c>
      <c r="B705" s="2" t="str">
        <f>=HYPERLINK("https://pan.quark.cn/s/72c57a1313c4", "https://pan.quark.cn/s/72c57a1313c4")</f>
        <v>https://pan.quark.cn/s/72c57a1313c4</v>
      </c>
      <c r="C705" t="inlineStr">
        <is>
          <t>264.2M</t>
        </is>
      </c>
      <c r="D705" t="inlineStr">
        <is>
          <t>/2年级数学/人教版/状元大考卷/同步练习/K12/学龄儿童家长</t>
        </is>
      </c>
      <c r="E705" t="inlineStr">
        <is>
          <t>https://dcn8qexvg13r.feishu.cn/share/base/query/shrcnMqxwwRkV3NUIUxPeab3sec</t>
        </is>
      </c>
      <c r="F705" t="inlineStr">
        <is>
          <t>请添加微信：k846211</t>
        </is>
      </c>
      <c r="G705" t="inlineStr">
        <is>
          <t>2025-12-03</t>
        </is>
      </c>
    </row>
    <row r="706" ht="25.5" customHeight="1">
      <c r="A706" t="inlineStr">
        <is>
          <t>六神磊磊古诗词一课通(1)</t>
        </is>
      </c>
      <c r="B706" s="2" t="str">
        <f>=HYPERLINK("https://pan.quark.cn/s/afa83739ebc7", "https://pan.quark.cn/s/afa83739ebc7")</f>
        <v>https://pan.quark.cn/s/afa83739ebc7</v>
      </c>
      <c r="C706" t="inlineStr">
        <is>
          <t>22.3G</t>
        </is>
      </c>
      <c r="D706" t="inlineStr">
        <is>
          <t>/古诗词/课程/学习/K12/宝妈/家长群体/学龄儿童家长</t>
        </is>
      </c>
      <c r="E706" t="inlineStr">
        <is>
          <t>https://dcn8qexvg13r.feishu.cn/share/base/query/shrcnMqxwwRkV3NUIUxPeab3sec</t>
        </is>
      </c>
      <c r="F706" t="inlineStr">
        <is>
          <t>请添加微信：k846211</t>
        </is>
      </c>
      <c r="G706" t="inlineStr">
        <is>
          <t>2025-12-03</t>
        </is>
      </c>
    </row>
    <row r="707" ht="25.5" customHeight="1">
      <c r="A707" t="inlineStr">
        <is>
          <t>2025年新版一年级语文知识点总结（期中高频考点汇总）(1).pdf</t>
        </is>
      </c>
      <c r="B707" s="2" t="str">
        <f>=HYPERLINK("https://pan.quark.cn/s/c4acdf101a90", "https://pan.quark.cn/s/c4acdf101a90")</f>
        <v>https://pan.quark.cn/s/c4acdf101a90</v>
      </c>
      <c r="C707" t="inlineStr">
        <is>
          <t>38M</t>
        </is>
      </c>
      <c r="D707" t="inlineStr">
        <is>
          <t>/一年级语文/知识点总结/期中高频考点/PDF/学龄儿童家长/K12</t>
        </is>
      </c>
      <c r="E707" t="inlineStr">
        <is>
          <t>https://dcn8qexvg13r.feishu.cn/share/base/query/shrcnMqxwwRkV3NUIUxPeab3sec</t>
        </is>
      </c>
      <c r="F707" t="inlineStr">
        <is>
          <t>请添加微信：k846211</t>
        </is>
      </c>
      <c r="G707" t="inlineStr">
        <is>
          <t>2025-12-03</t>
        </is>
      </c>
    </row>
    <row r="708" ht="25.5" customHeight="1">
      <c r="A708" t="inlineStr">
        <is>
          <t>DK图解数学动画课程(1)</t>
        </is>
      </c>
      <c r="B708" s="2" t="str">
        <f>=HYPERLINK("https://pan.quark.cn/s/dbe0d3a318e8", "https://pan.quark.cn/s/dbe0d3a318e8")</f>
        <v>https://pan.quark.cn/s/dbe0d3a318e8</v>
      </c>
      <c r="C708" t="inlineStr">
        <is>
          <t>4.9G</t>
        </is>
      </c>
      <c r="D708" t="inlineStr">
        <is>
          <t>/数学/动画课程/图解/K12/学龄儿童家长</t>
        </is>
      </c>
      <c r="E708" t="inlineStr">
        <is>
          <t>https://dcn8qexvg13r.feishu.cn/share/base/query/shrcnMqxwwRkV3NUIUxPeab3sec</t>
        </is>
      </c>
      <c r="F708" t="inlineStr">
        <is>
          <t>请添加微信：k846211</t>
        </is>
      </c>
      <c r="G708" t="inlineStr">
        <is>
          <t>2025-12-03</t>
        </is>
      </c>
    </row>
    <row r="709" ht="25.5" customHeight="1">
      <c r="A709" t="inlineStr">
        <is>
          <t>DK英语10000词（pdf+音频）(1)</t>
        </is>
      </c>
      <c r="B709" s="2" t="str">
        <f>=HYPERLINK("https://pan.quark.cn/s/89b25690d76e", "https://pan.quark.cn/s/89b25690d76e")</f>
        <v>https://pan.quark.cn/s/89b25690d76e</v>
      </c>
      <c r="C709" t="inlineStr">
        <is>
          <t>399.6M</t>
        </is>
      </c>
      <c r="D709" t="inlineStr">
        <is>
          <t>/英语词汇/10000词/PDF/音频/语言</t>
        </is>
      </c>
      <c r="E709" t="inlineStr">
        <is>
          <t>https://dcn8qexvg13r.feishu.cn/share/base/query/shrcnMqxwwRkV3NUIUxPeab3sec</t>
        </is>
      </c>
      <c r="F709" t="inlineStr">
        <is>
          <t>请添加微信：k846211</t>
        </is>
      </c>
      <c r="G709" t="inlineStr">
        <is>
          <t>2025-12-03</t>
        </is>
      </c>
    </row>
    <row r="710" ht="25.5" customHeight="1">
      <c r="A710" t="inlineStr">
        <is>
          <t>高斯数学趣味动画420集（1-6年级全）(1)</t>
        </is>
      </c>
      <c r="B710" s="2" t="str">
        <f>=HYPERLINK("https://pan.quark.cn/s/e58438f7d82b", "https://pan.quark.cn/s/e58438f7d82b")</f>
        <v>https://pan.quark.cn/s/e58438f7d82b</v>
      </c>
      <c r="C710" t="inlineStr">
        <is>
          <t>1.6G</t>
        </is>
      </c>
      <c r="D710" t="inlineStr">
        <is>
          <t>/高斯数学/趣味动画/1-6年级/数学启蒙/K12/学龄儿童家长</t>
        </is>
      </c>
      <c r="E710" t="inlineStr">
        <is>
          <t>https://dcn8qexvg13r.feishu.cn/share/base/query/shrcnMqxwwRkV3NUIUxPeab3sec</t>
        </is>
      </c>
      <c r="F710" t="inlineStr">
        <is>
          <t>请添加微信：k846211</t>
        </is>
      </c>
      <c r="G710" t="inlineStr">
        <is>
          <t>2025-12-03</t>
        </is>
      </c>
    </row>
    <row r="711" ht="25.5" customHeight="1">
      <c r="A711" t="inlineStr">
        <is>
          <t>厉老师1-6年级系统数学思维提升课(1)</t>
        </is>
      </c>
      <c r="B711" s="2" t="str">
        <f>=HYPERLINK("https://pan.quark.cn/s/b508f8d0bfe9", "https://pan.quark.cn/s/b508f8d0bfe9")</f>
        <v>https://pan.quark.cn/s/b508f8d0bfe9</v>
      </c>
      <c r="C711" t="inlineStr">
        <is>
          <t>51.7G</t>
        </is>
      </c>
      <c r="D711" t="inlineStr">
        <is>
          <t>数学思维/系统提升课/1-6年级/K12/学龄儿童家长</t>
        </is>
      </c>
      <c r="E711" t="inlineStr">
        <is>
          <t>https://dcn8qexvg13r.feishu.cn/share/base/query/shrcnMqxwwRkV3NUIUxPeab3sec</t>
        </is>
      </c>
      <c r="F711" t="inlineStr">
        <is>
          <t>请添加微信：k846211</t>
        </is>
      </c>
      <c r="G711" t="inlineStr">
        <is>
          <t>2025-12-03</t>
        </is>
      </c>
    </row>
    <row r="712" ht="25.5" customHeight="1">
      <c r="A712" t="inlineStr">
        <is>
          <t>满分数学张文晖-思维提升课1-6年级（全）(1)</t>
        </is>
      </c>
      <c r="B712" s="2" t="str">
        <f>=HYPERLINK("https://pan.quark.cn/s/65e56dfd74ee", "https://pan.quark.cn/s/65e56dfd74ee")</f>
        <v>https://pan.quark.cn/s/65e56dfd74ee</v>
      </c>
      <c r="C712" t="inlineStr">
        <is>
          <t>60.5G</t>
        </is>
      </c>
      <c r="D712" t="inlineStr">
        <is>
          <t>/数学/思维提升/张文晖/1-6年级/K12/学龄儿童家长</t>
        </is>
      </c>
      <c r="E712" t="inlineStr">
        <is>
          <t>https://dcn8qexvg13r.feishu.cn/share/base/query/shrcnMqxwwRkV3NUIUxPeab3sec</t>
        </is>
      </c>
      <c r="F712" t="inlineStr">
        <is>
          <t>请添加微信：k846211</t>
        </is>
      </c>
      <c r="G712" t="inlineStr">
        <is>
          <t>2025-12-03</t>
        </is>
      </c>
    </row>
    <row r="713" ht="25.5" customHeight="1">
      <c r="A713" t="inlineStr">
        <is>
          <t>学而思秘籍 小学数学（1-12）(1)</t>
        </is>
      </c>
      <c r="B713" s="2" t="str">
        <f>=HYPERLINK("https://pan.quark.cn/s/a48bbf034319", "https://pan.quark.cn/s/a48bbf034319")</f>
        <v>https://pan.quark.cn/s/a48bbf034319</v>
      </c>
      <c r="C713" t="inlineStr">
        <is>
          <t>12.7G</t>
        </is>
      </c>
      <c r="D713" t="inlineStr">
        <is>
          <t>/小学数学/学而思/学习秘籍/教辅/K12/学龄儿童家长</t>
        </is>
      </c>
      <c r="E713" t="inlineStr">
        <is>
          <t>https://dcn8qexvg13r.feishu.cn/share/base/query/shrcnMqxwwRkV3NUIUxPeab3sec</t>
        </is>
      </c>
      <c r="F713" t="inlineStr">
        <is>
          <t>请添加微信：k846211</t>
        </is>
      </c>
      <c r="G713" t="inlineStr">
        <is>
          <t>2025-12-03</t>
        </is>
      </c>
    </row>
    <row r="714" ht="25.5" customHeight="1">
      <c r="A714" t="inlineStr">
        <is>
          <t>学而思网校-小学奥数（1-6年级）(1)</t>
        </is>
      </c>
      <c r="B714" s="2" t="str">
        <f>=HYPERLINK("https://pan.quark.cn/s/1334405a04f7", "https://pan.quark.cn/s/1334405a04f7")</f>
        <v>https://pan.quark.cn/s/1334405a04f7</v>
      </c>
      <c r="C714" t="inlineStr">
        <is>
          <t>46.6G</t>
        </is>
      </c>
      <c r="D714" t="inlineStr">
        <is>
          <t>/小学奥数/学而思网校/1-6年级/K12/学龄儿童家长</t>
        </is>
      </c>
      <c r="E714" t="inlineStr">
        <is>
          <t>https://dcn8qexvg13r.feishu.cn/share/base/query/shrcnMqxwwRkV3NUIUxPeab3sec</t>
        </is>
      </c>
      <c r="F714" t="inlineStr">
        <is>
          <t>请添加微信：k846211</t>
        </is>
      </c>
      <c r="G714" t="inlineStr">
        <is>
          <t>2025-12-03</t>
        </is>
      </c>
    </row>
    <row r="715" ht="25.5" customHeight="1">
      <c r="A715" t="inlineStr">
        <is>
          <t>初中小四门视频资料（7-9年级）</t>
        </is>
      </c>
      <c r="B715" s="2" t="str">
        <f>=HYPERLINK("https://pan.quark.cn/s/b8dad15ceb11", "https://pan.quark.cn/s/b8dad15ceb11")</f>
        <v>https://pan.quark.cn/s/b8dad15ceb11</v>
      </c>
      <c r="C715" t="inlineStr">
        <is>
          <t>58.6G</t>
        </is>
      </c>
      <c r="D715" t="inlineStr">
        <is>
          <t>/初中小四门/视频/7-9年级/K12/学龄儿童家长</t>
        </is>
      </c>
      <c r="E715" t="inlineStr">
        <is>
          <t>https://dcn8qexvg13r.feishu.cn/share/base/query/shrcnMqxwwRkV3NUIUxPeab3sec</t>
        </is>
      </c>
      <c r="F715" t="inlineStr">
        <is>
          <t>请添加微信：k846211</t>
        </is>
      </c>
      <c r="G715" t="inlineStr">
        <is>
          <t>2025-12-03</t>
        </is>
      </c>
    </row>
    <row r="716" ht="25.5" customHeight="1">
      <c r="A716" t="inlineStr">
        <is>
          <t>2026版初中《名师总结知识点》789年级上册（9科全套）</t>
        </is>
      </c>
      <c r="B716" s="2" t="str">
        <f>=HYPERLINK("https://pan.quark.cn/s/939870a02d24", "https://pan.quark.cn/s/939870a02d24")</f>
        <v>https://pan.quark.cn/s/939870a02d24</v>
      </c>
      <c r="C716" t="inlineStr">
        <is>
          <t>80M</t>
        </is>
      </c>
      <c r="D716" t="inlineStr">
        <is>
          <t>/初中知识点/名师总结/789年级/上册/9科/K12/学龄儿童家长</t>
        </is>
      </c>
      <c r="E716" t="inlineStr">
        <is>
          <t>https://dcn8qexvg13r.feishu.cn/share/base/query/shrcnMqxwwRkV3NUIUxPeab3sec</t>
        </is>
      </c>
      <c r="F716" t="inlineStr">
        <is>
          <t>请添加微信：k846211</t>
        </is>
      </c>
      <c r="G716" t="inlineStr">
        <is>
          <t>2025-12-03</t>
        </is>
      </c>
    </row>
    <row r="717" ht="25.5" customHeight="1">
      <c r="A717" t="inlineStr">
        <is>
          <t>初中小四门（道法历史地理生物）7-8年级上册背诵默写资料（可下载打印）</t>
        </is>
      </c>
      <c r="B717" s="2" t="str">
        <f>=HYPERLINK("https://pan.quark.cn/s/e27c6b94316f", "https://pan.quark.cn/s/e27c6b94316f")</f>
        <v>https://pan.quark.cn/s/e27c6b94316f</v>
      </c>
      <c r="C717" t="inlineStr">
        <is>
          <t>13.8M</t>
        </is>
      </c>
      <c r="D717" t="inlineStr">
        <is>
          <t>/初中小四门/7-8年级上册/道法历史地理生物/背诵默写/K12/学龄儿童家长</t>
        </is>
      </c>
      <c r="E717" t="inlineStr">
        <is>
          <t>https://dcn8qexvg13r.feishu.cn/share/base/query/shrcnMqxwwRkV3NUIUxPeab3sec</t>
        </is>
      </c>
      <c r="F717" t="inlineStr">
        <is>
          <t>请添加微信：k846211</t>
        </is>
      </c>
      <c r="G717" t="inlineStr">
        <is>
          <t>2025-12-03</t>
        </is>
      </c>
    </row>
    <row r="718" ht="25.5" customHeight="1">
      <c r="A718" t="inlineStr">
        <is>
          <t>2025小升初《一本预备新初一小四门》（政史生地）</t>
        </is>
      </c>
      <c r="B718" s="2" t="str">
        <f>=HYPERLINK("https://pan.quark.cn/s/7ba72d0b7088", "https://pan.quark.cn/s/7ba72d0b7088")</f>
        <v>https://pan.quark.cn/s/7ba72d0b7088</v>
      </c>
      <c r="C718" t="inlineStr">
        <is>
          <t>275.3M</t>
        </is>
      </c>
      <c r="D718" t="inlineStr">
        <is>
          <t>/小升初/政史生地/预备/教辅/K12/学龄儿童家长</t>
        </is>
      </c>
      <c r="E718" t="inlineStr">
        <is>
          <t>https://dcn8qexvg13r.feishu.cn/share/base/query/shrcnMqxwwRkV3NUIUxPeab3sec</t>
        </is>
      </c>
      <c r="F718" t="inlineStr">
        <is>
          <t>请添加微信：k846211</t>
        </is>
      </c>
      <c r="G718" t="inlineStr">
        <is>
          <t>2025-12-03</t>
        </is>
      </c>
    </row>
    <row r="719" ht="25.5" customHeight="1">
      <c r="A719" t="inlineStr">
        <is>
          <t>@勤学早</t>
        </is>
      </c>
      <c r="B719" s="2" t="str">
        <f>=HYPERLINK("https://pan.quark.cn/s/8a2144aa0db1", "https://pan.quark.cn/s/8a2144aa0db1")</f>
        <v>https://pan.quark.cn/s/8a2144aa0db1</v>
      </c>
      <c r="C719" t="inlineStr">
        <is>
          <t>22.4G</t>
        </is>
      </c>
      <c r="D719" t="inlineStr">
        <is>
          <t>/学习/辅导/早学/K12/学龄儿童家长</t>
        </is>
      </c>
      <c r="E719" t="inlineStr">
        <is>
          <t>https://dcn8qexvg13r.feishu.cn/share/base/query/shrcnMqxwwRkV3NUIUxPeab3sec</t>
        </is>
      </c>
      <c r="F719" t="inlineStr">
        <is>
          <t>请添加微信：k846211</t>
        </is>
      </c>
      <c r="G719" t="inlineStr">
        <is>
          <t>2025-12-03</t>
        </is>
      </c>
    </row>
    <row r="720" ht="25.5" customHeight="1">
      <c r="A720" t="inlineStr">
        <is>
          <t>2025年新版一年级语文知识点总结（期中高频考点汇总）(2).pdf</t>
        </is>
      </c>
      <c r="B720" s="2" t="str">
        <f>=HYPERLINK("https://pan.quark.cn/s/f582ea4717ba", "https://pan.quark.cn/s/f582ea4717ba")</f>
        <v>https://pan.quark.cn/s/f582ea4717ba</v>
      </c>
      <c r="C720" t="inlineStr">
        <is>
          <t>38M</t>
        </is>
      </c>
      <c r="D720" t="inlineStr">
        <is>
          <t>/一年级语文/2025新版/期中高频考点/知识点总结/K12/学龄儿童家长</t>
        </is>
      </c>
      <c r="E720" t="inlineStr">
        <is>
          <t>https://dcn8qexvg13r.feishu.cn/share/base/query/shrcnMqxwwRkV3NUIUxPeab3sec</t>
        </is>
      </c>
      <c r="F720" t="inlineStr">
        <is>
          <t>请添加微信：k846211</t>
        </is>
      </c>
      <c r="G720" t="inlineStr">
        <is>
          <t>2025-12-03</t>
        </is>
      </c>
    </row>
    <row r="721" ht="25.5" customHeight="1">
      <c r="A721" t="inlineStr">
        <is>
          <t>002-小学语文强基-同音字一本通(1).pdf</t>
        </is>
      </c>
      <c r="B721" s="2" t="str">
        <f>=HYPERLINK("https://pan.quark.cn/s/44982a047e69", "https://pan.quark.cn/s/44982a047e69")</f>
        <v>https://pan.quark.cn/s/44982a047e69</v>
      </c>
      <c r="C721" t="inlineStr">
        <is>
          <t>172.1M</t>
        </is>
      </c>
      <c r="D721" t="inlineStr">
        <is>
          <t>/小学语文/同音字/强基/学习资料/K12/学龄儿童家长</t>
        </is>
      </c>
      <c r="E721" t="inlineStr">
        <is>
          <t>https://dcn8qexvg13r.feishu.cn/share/base/query/shrcnMqxwwRkV3NUIUxPeab3sec</t>
        </is>
      </c>
      <c r="F721" t="inlineStr">
        <is>
          <t>请添加微信：k846211</t>
        </is>
      </c>
      <c r="G721" t="inlineStr">
        <is>
          <t>2025-12-04</t>
        </is>
      </c>
    </row>
    <row r="722" ht="25.5" customHeight="1">
      <c r="A722" t="inlineStr">
        <is>
          <t>举一反三小学奥数点拨训练1年级.pdf</t>
        </is>
      </c>
      <c r="B722" s="2" t="str">
        <f>=HYPERLINK("https://pan.quark.cn/s/9691a817bc47", "https://pan.quark.cn/s/9691a817bc47")</f>
        <v>https://pan.quark.cn/s/9691a817bc47</v>
      </c>
      <c r="C722" t="inlineStr">
        <is>
          <t>271.4M</t>
        </is>
      </c>
      <c r="D722" t="inlineStr">
        <is>
          <t>/小学奥数/1年级/点拨训练/举一反三/K12/学龄儿童家长</t>
        </is>
      </c>
      <c r="E722" t="inlineStr">
        <is>
          <t>https://dcn8qexvg13r.feishu.cn/share/base/query/shrcnMqxwwRkV3NUIUxPeab3sec</t>
        </is>
      </c>
      <c r="F722" t="inlineStr">
        <is>
          <t>请添加微信：k846211</t>
        </is>
      </c>
      <c r="G722" t="inlineStr">
        <is>
          <t>2025-12-04</t>
        </is>
      </c>
    </row>
    <row r="723" ht="25.5" customHeight="1">
      <c r="A723" t="inlineStr">
        <is>
          <t>53默写与积累</t>
        </is>
      </c>
      <c r="B723" s="2" t="str">
        <f>=HYPERLINK("https://pan.quark.cn/s/c526d0e58f64", "https://pan.quark.cn/s/c526d0e58f64")</f>
        <v>https://pan.quark.cn/s/c526d0e58f64</v>
      </c>
      <c r="C723" t="inlineStr">
        <is>
          <t>127.6M</t>
        </is>
      </c>
      <c r="D723" t="inlineStr">
        <is>
          <t>/默写/知识积累/学习资料/K12/学龄儿童家长</t>
        </is>
      </c>
      <c r="E723" t="inlineStr">
        <is>
          <t>https://dcn8qexvg13r.feishu.cn/share/base/query/shrcnMqxwwRkV3NUIUxPeab3sec</t>
        </is>
      </c>
      <c r="F723" t="inlineStr">
        <is>
          <t>请添加微信：k846211</t>
        </is>
      </c>
      <c r="G723" t="inlineStr">
        <is>
          <t>2025-12-04</t>
        </is>
      </c>
    </row>
    <row r="724" ht="25.5" customHeight="1">
      <c r="A724" t="inlineStr">
        <is>
          <t>25秋《考试报 同步检测高频题》北师数学</t>
        </is>
      </c>
      <c r="B724" s="2" t="str">
        <f>=HYPERLINK("https://pan.quark.cn/s/83add5fe77f3", "https://pan.quark.cn/s/83add5fe77f3")</f>
        <v>https://pan.quark.cn/s/83add5fe77f3</v>
      </c>
      <c r="C724" t="inlineStr">
        <is>
          <t>479.3M</t>
        </is>
      </c>
      <c r="D724" t="inlineStr">
        <is>
          <t>/考试报/同步检测/高频题/北师大版数学/K12/学龄儿童家长</t>
        </is>
      </c>
      <c r="E724" t="inlineStr">
        <is>
          <t>https://dcn8qexvg13r.feishu.cn/share/base/query/shrcnMqxwwRkV3NUIUxPeab3sec</t>
        </is>
      </c>
      <c r="F724" t="inlineStr">
        <is>
          <t>请添加微信：k846211</t>
        </is>
      </c>
      <c r="G724" t="inlineStr">
        <is>
          <t>2025-12-08</t>
        </is>
      </c>
    </row>
    <row r="725" ht="25.5" customHeight="1">
      <c r="A725" t="inlineStr">
        <is>
          <t>25秋《考试报 同步检测高频题》人教数学</t>
        </is>
      </c>
      <c r="B725" s="2" t="str">
        <f>=HYPERLINK("https://pan.quark.cn/s/54fa8d39b72e", "https://pan.quark.cn/s/54fa8d39b72e")</f>
        <v>https://pan.quark.cn/s/54fa8d39b72e</v>
      </c>
      <c r="C725" t="inlineStr">
        <is>
          <t>371.2M</t>
        </is>
      </c>
      <c r="D725" t="inlineStr">
        <is>
          <t>/数学/同步检测/高频题/考试报/K12/学龄儿童家长</t>
        </is>
      </c>
      <c r="E725" t="inlineStr">
        <is>
          <t>https://dcn8qexvg13r.feishu.cn/share/base/query/shrcnMqxwwRkV3NUIUxPeab3sec</t>
        </is>
      </c>
      <c r="F725" t="inlineStr">
        <is>
          <t>请添加微信：k846211</t>
        </is>
      </c>
      <c r="G725" t="inlineStr">
        <is>
          <t>2025-12-08</t>
        </is>
      </c>
    </row>
    <row r="726" ht="25.5" customHeight="1">
      <c r="A726" t="inlineStr">
        <is>
          <t>25秋《考试报 同步检测高频题》苏教数学</t>
        </is>
      </c>
      <c r="B726" s="2" t="str">
        <f>=HYPERLINK("https://pan.quark.cn/s/98f43f7c9917", "https://pan.quark.cn/s/98f43f7c9917")</f>
        <v>https://pan.quark.cn/s/98f43f7c9917</v>
      </c>
      <c r="C726" t="inlineStr">
        <is>
          <t>408.3M</t>
        </is>
      </c>
      <c r="D726" t="inlineStr">
        <is>
          <t>/苏教数学/同步检测/高频题/考试报/K12/学龄儿童家长</t>
        </is>
      </c>
      <c r="E726" t="inlineStr">
        <is>
          <t>https://dcn8qexvg13r.feishu.cn/share/base/query/shrcnMqxwwRkV3NUIUxPeab3sec</t>
        </is>
      </c>
      <c r="F726" t="inlineStr">
        <is>
          <t>请添加微信：k846211</t>
        </is>
      </c>
      <c r="G726" t="inlineStr">
        <is>
          <t>2025-12-08</t>
        </is>
      </c>
    </row>
    <row r="727" ht="25.5" customHeight="1">
      <c r="A727" t="inlineStr">
        <is>
          <t>25秋《考试报 同步检测高频题》语文</t>
        </is>
      </c>
      <c r="B727" s="2" t="str">
        <f>=HYPERLINK("https://pan.quark.cn/s/2605c3905c87", "https://pan.quark.cn/s/2605c3905c87")</f>
        <v>https://pan.quark.cn/s/2605c3905c87</v>
      </c>
      <c r="C727" t="inlineStr">
        <is>
          <t>409.9M</t>
        </is>
      </c>
      <c r="D727" t="inlineStr">
        <is>
          <t>/考试报/同步检测/高频题/语文/K12/学龄儿童家长</t>
        </is>
      </c>
      <c r="E727" t="inlineStr">
        <is>
          <t>https://dcn8qexvg13r.feishu.cn/share/base/query/shrcnMqxwwRkV3NUIUxPeab3sec</t>
        </is>
      </c>
      <c r="F727" t="inlineStr">
        <is>
          <t>请添加微信：k846211</t>
        </is>
      </c>
      <c r="G727" t="inlineStr">
        <is>
          <t>2025-12-08</t>
        </is>
      </c>
    </row>
    <row r="728" ht="25.5" customHeight="1">
      <c r="A728" t="inlineStr">
        <is>
          <t>【推荐】丁丁思维提升课</t>
        </is>
      </c>
      <c r="B728" s="2" t="str">
        <f>=HYPERLINK("https://pan.quark.cn/s/53003d2cf33d", "https://pan.quark.cn/s/53003d2cf33d")</f>
        <v>https://pan.quark.cn/s/53003d2cf33d</v>
      </c>
      <c r="C728" t="inlineStr">
        <is>
          <t>83G</t>
        </is>
      </c>
      <c r="D728" t="inlineStr">
        <is>
          <t>/思维提升/课程/丁丁/学龄儿童家长/K12</t>
        </is>
      </c>
      <c r="E728" t="inlineStr">
        <is>
          <t>https://dcn8qexvg13r.feishu.cn/share/base/query/shrcnMqxwwRkV3NUIUxPeab3sec</t>
        </is>
      </c>
      <c r="F728" t="inlineStr">
        <is>
          <t>请添加微信：k846211</t>
        </is>
      </c>
      <c r="G728" t="inlineStr">
        <is>
          <t>2025-12-08</t>
        </is>
      </c>
    </row>
    <row r="729" ht="25.5" customHeight="1">
      <c r="A729" t="inlineStr">
        <is>
          <t>高斯  小学1-6年级奥数</t>
        </is>
      </c>
      <c r="B729" s="2" t="str">
        <f>=HYPERLINK("https://pan.quark.cn/s/842ae35e85a8", "https://pan.quark.cn/s/842ae35e85a8")</f>
        <v>https://pan.quark.cn/s/842ae35e85a8</v>
      </c>
      <c r="C729" t="inlineStr">
        <is>
          <t>1.6G</t>
        </is>
      </c>
      <c r="D729" t="inlineStr">
        <is>
          <t>/高斯/小学奥数/1-6年级/思维训练/K12/学龄儿童家长</t>
        </is>
      </c>
      <c r="E729" t="inlineStr">
        <is>
          <t>https://dcn8qexvg13r.feishu.cn/share/base/query/shrcnMqxwwRkV3NUIUxPeab3sec</t>
        </is>
      </c>
      <c r="F729" t="inlineStr">
        <is>
          <t>请添加微信：k846211</t>
        </is>
      </c>
      <c r="G729" t="inlineStr">
        <is>
          <t>2025-12-08</t>
        </is>
      </c>
    </row>
    <row r="730" ht="25.5" customHeight="1">
      <c r="A730" t="inlineStr">
        <is>
          <t>华罗庚小学奥数精讲（3456年级全套）</t>
        </is>
      </c>
      <c r="B730" s="2" t="str">
        <f>=HYPERLINK("https://pan.quark.cn/s/2e56b50b8391", "https://pan.quark.cn/s/2e56b50b8391")</f>
        <v>https://pan.quark.cn/s/2e56b50b8391</v>
      </c>
      <c r="C730" t="inlineStr">
        <is>
          <t>4.6G</t>
        </is>
      </c>
      <c r="D730" t="inlineStr">
        <is>
          <t>/小学奥数/3456年级/精讲/数学思维/K12/学龄儿童家长</t>
        </is>
      </c>
      <c r="E730" t="inlineStr">
        <is>
          <t>https://dcn8qexvg13r.feishu.cn/share/base/query/shrcnMqxwwRkV3NUIUxPeab3sec</t>
        </is>
      </c>
      <c r="F730" t="inlineStr">
        <is>
          <t>请添加微信：k846211</t>
        </is>
      </c>
      <c r="G730" t="inlineStr">
        <is>
          <t>2025-12-08</t>
        </is>
      </c>
    </row>
    <row r="731" ht="25.5" customHeight="1">
      <c r="A731" t="inlineStr">
        <is>
          <t>学而思奥数</t>
        </is>
      </c>
      <c r="B731" s="2" t="str">
        <f>=HYPERLINK("https://pan.quark.cn/s/5188984bbe72", "https://pan.quark.cn/s/5188984bbe72")</f>
        <v>https://pan.quark.cn/s/5188984bbe72</v>
      </c>
      <c r="C731" t="inlineStr">
        <is>
          <t>18.4G</t>
        </is>
      </c>
      <c r="D731" t="inlineStr">
        <is>
          <t>/奥数/学而思/思维训练/数学提升/K12/学龄儿童家长</t>
        </is>
      </c>
      <c r="E731" t="inlineStr">
        <is>
          <t>https://dcn8qexvg13r.feishu.cn/share/base/query/shrcnMqxwwRkV3NUIUxPeab3sec</t>
        </is>
      </c>
      <c r="F731" t="inlineStr">
        <is>
          <t>请添加微信：k846211</t>
        </is>
      </c>
      <c r="G731" t="inlineStr">
        <is>
          <t>2025-12-08</t>
        </is>
      </c>
    </row>
    <row r="732" ht="25.5" customHeight="1">
      <c r="A732" t="inlineStr">
        <is>
          <t>小学奥数举一反三 1-6年级 视频+题库</t>
        </is>
      </c>
      <c r="B732" s="2" t="str">
        <f>=HYPERLINK("https://pan.quark.cn/s/4bf81cffb709", "https://pan.quark.cn/s/4bf81cffb709")</f>
        <v>https://pan.quark.cn/s/4bf81cffb709</v>
      </c>
      <c r="C732" t="inlineStr">
        <is>
          <t>71.2G</t>
        </is>
      </c>
      <c r="D732" t="inlineStr">
        <is>
          <t>/小学奥数/视频课程/练习题/举一反三/学龄儿童家长/K12</t>
        </is>
      </c>
      <c r="E732" t="inlineStr">
        <is>
          <t>https://dcn8qexvg13r.feishu.cn/share/base/query/shrcnMqxwwRkV3NUIUxPeab3sec</t>
        </is>
      </c>
      <c r="F732" t="inlineStr">
        <is>
          <t>请添加微信：k846211</t>
        </is>
      </c>
      <c r="G732" t="inlineStr">
        <is>
          <t>2025-12-08</t>
        </is>
      </c>
    </row>
    <row r="733" ht="25.5" customHeight="1">
      <c r="A733" t="inlineStr">
        <is>
          <t>宇神奥数课程合集</t>
        </is>
      </c>
      <c r="B733" s="2" t="str">
        <f>=HYPERLINK("https://pan.quark.cn/s/5ee12a55edb2", "https://pan.quark.cn/s/5ee12a55edb2")</f>
        <v>https://pan.quark.cn/s/5ee12a55edb2</v>
      </c>
      <c r="C733" t="inlineStr">
        <is>
          <t>166.4G</t>
        </is>
      </c>
      <c r="D733" t="inlineStr">
        <is>
          <t>/奥数/课程/数学思维/K12/学龄儿童家长</t>
        </is>
      </c>
      <c r="E733" t="inlineStr">
        <is>
          <t>https://dcn8qexvg13r.feishu.cn/share/base/query/shrcnMqxwwRkV3NUIUxPeab3sec</t>
        </is>
      </c>
      <c r="F733" t="inlineStr">
        <is>
          <t>请添加微信：k846211</t>
        </is>
      </c>
      <c r="G733" t="inlineStr">
        <is>
          <t>2025-12-08</t>
        </is>
      </c>
    </row>
    <row r="734" ht="25.5" customHeight="1">
      <c r="A734" t="inlineStr">
        <is>
          <t>常青藤爸爸合集(1)</t>
        </is>
      </c>
      <c r="B734" s="2" t="str">
        <f>=HYPERLINK("https://pan.quark.cn/s/0fdff04717af", "https://pan.quark.cn/s/0fdff04717af")</f>
        <v>https://pan.quark.cn/s/0fdff04717af</v>
      </c>
      <c r="C734" t="inlineStr">
        <is>
          <t>125.2G</t>
        </is>
      </c>
      <c r="D734" t="inlineStr">
        <is>
          <t>/常青藤爸爸/育儿/K12/宝妈/家长群体/学龄儿童家长</t>
        </is>
      </c>
      <c r="E734" t="inlineStr">
        <is>
          <t>https://dcn8qexvg13r.feishu.cn/share/base/query/shrcnMqxwwRkV3NUIUxPeab3sec</t>
        </is>
      </c>
      <c r="F734" t="inlineStr">
        <is>
          <t>请添加微信：k846211</t>
        </is>
      </c>
      <c r="G734" t="inlineStr">
        <is>
          <t>2025-12-08</t>
        </is>
      </c>
    </row>
    <row r="735" ht="25.5" customHeight="1">
      <c r="A735" t="inlineStr">
        <is>
          <t>15天满分备考上册人教版英语</t>
        </is>
      </c>
      <c r="B735" s="2" t="str">
        <f>=HYPERLINK("https://pan.quark.cn/s/30944faec3d8", "https://pan.quark.cn/s/30944faec3d8")</f>
        <v>https://pan.quark.cn/s/30944faec3d8</v>
      </c>
      <c r="C735" t="inlineStr">
        <is>
          <t>212.3M</t>
        </is>
      </c>
      <c r="D735" t="inlineStr">
        <is>
          <t>/人教版英语/备考/上册/15天/K12/学龄儿童家长</t>
        </is>
      </c>
      <c r="E735" t="inlineStr">
        <is>
          <t>https://dcn8qexvg13r.feishu.cn/share/base/query/shrcnMqxwwRkV3NUIUxPeab3sec</t>
        </is>
      </c>
      <c r="F735" t="inlineStr">
        <is>
          <t>请添加微信：k846211</t>
        </is>
      </c>
      <c r="G735" t="inlineStr">
        <is>
          <t>2025-12-08</t>
        </is>
      </c>
    </row>
    <row r="736" ht="25.5" customHeight="1">
      <c r="A736" t="inlineStr">
        <is>
          <t>15天满分备考上册冀教版英语</t>
        </is>
      </c>
      <c r="B736" s="2" t="str">
        <f>=HYPERLINK("https://pan.quark.cn/s/ac5ae837d33a", "https://pan.quark.cn/s/ac5ae837d33a")</f>
        <v>https://pan.quark.cn/s/ac5ae837d33a</v>
      </c>
      <c r="C736" t="inlineStr">
        <is>
          <t>217.9M</t>
        </is>
      </c>
      <c r="D736" t="inlineStr">
        <is>
          <t>/冀教版英语/备考/上册/15天/K12/学龄儿童家长</t>
        </is>
      </c>
      <c r="E736" t="inlineStr">
        <is>
          <t>https://dcn8qexvg13r.feishu.cn/share/base/query/shrcnMqxwwRkV3NUIUxPeab3sec</t>
        </is>
      </c>
      <c r="F736" t="inlineStr">
        <is>
          <t>请添加微信：k846211</t>
        </is>
      </c>
      <c r="G736" t="inlineStr">
        <is>
          <t>2025-12-08</t>
        </is>
      </c>
    </row>
    <row r="737" ht="25.5" customHeight="1">
      <c r="A737" t="inlineStr">
        <is>
          <t>15天满分备考上册外研版英语</t>
        </is>
      </c>
      <c r="B737" s="2" t="str">
        <f>=HYPERLINK("https://pan.quark.cn/s/5e8319ac46cf", "https://pan.quark.cn/s/5e8319ac46cf")</f>
        <v>https://pan.quark.cn/s/5e8319ac46cf</v>
      </c>
      <c r="C737" t="inlineStr">
        <is>
          <t>192.1M</t>
        </is>
      </c>
      <c r="D737" t="inlineStr">
        <is>
          <t>/英语备考/外研版/上册/15天满分/K12/学龄儿童家长</t>
        </is>
      </c>
      <c r="E737" t="inlineStr">
        <is>
          <t>https://dcn8qexvg13r.feishu.cn/share/base/query/shrcnMqxwwRkV3NUIUxPeab3sec</t>
        </is>
      </c>
      <c r="F737" t="inlineStr">
        <is>
          <t>请添加微信：k846211</t>
        </is>
      </c>
      <c r="G737" t="inlineStr">
        <is>
          <t>2025-12-08</t>
        </is>
      </c>
    </row>
    <row r="738" ht="25.5" customHeight="1">
      <c r="A738" t="inlineStr">
        <is>
          <t>15天满分备考上册译林版英语</t>
        </is>
      </c>
      <c r="B738" s="2" t="str">
        <f>=HYPERLINK("https://pan.quark.cn/s/a2735645078b", "https://pan.quark.cn/s/a2735645078b")</f>
        <v>https://pan.quark.cn/s/a2735645078b</v>
      </c>
      <c r="C738" t="inlineStr">
        <is>
          <t>219.6M</t>
        </is>
      </c>
      <c r="D738" t="inlineStr">
        <is>
          <t>/英语备考/译林版/上册/15天满分/K12/学龄儿童家长</t>
        </is>
      </c>
      <c r="E738" t="inlineStr">
        <is>
          <t>https://dcn8qexvg13r.feishu.cn/share/base/query/shrcnMqxwwRkV3NUIUxPeab3sec</t>
        </is>
      </c>
      <c r="F738" t="inlineStr">
        <is>
          <t>请添加微信：k846211</t>
        </is>
      </c>
      <c r="G738" t="inlineStr">
        <is>
          <t>2025-12-08</t>
        </is>
      </c>
    </row>
    <row r="739" ht="25.5" customHeight="1">
      <c r="A739" t="inlineStr">
        <is>
          <t>15天满分备考上册人教版数学</t>
        </is>
      </c>
      <c r="B739" s="2" t="str">
        <f>=HYPERLINK("https://pan.quark.cn/s/ed9a4d5febc1", "https://pan.quark.cn/s/ed9a4d5febc1")</f>
        <v>https://pan.quark.cn/s/ed9a4d5febc1</v>
      </c>
      <c r="C739" t="inlineStr">
        <is>
          <t>323.9M</t>
        </is>
      </c>
      <c r="D739" t="inlineStr">
        <is>
          <t>/人教版数学/上册/15天备考/满分备考/K12/学龄儿童家长</t>
        </is>
      </c>
      <c r="E739" t="inlineStr">
        <is>
          <t>https://dcn8qexvg13r.feishu.cn/share/base/query/shrcnMqxwwRkV3NUIUxPeab3sec</t>
        </is>
      </c>
      <c r="F739" t="inlineStr">
        <is>
          <t>请添加微信：k846211</t>
        </is>
      </c>
      <c r="G739" t="inlineStr">
        <is>
          <t>2025-12-08</t>
        </is>
      </c>
    </row>
    <row r="740" ht="25.5" customHeight="1">
      <c r="A740" t="inlineStr">
        <is>
          <t>15天满分备考上册冀教版数学</t>
        </is>
      </c>
      <c r="B740" s="2" t="str">
        <f>=HYPERLINK("https://pan.quark.cn/s/5bfa3a8ed3bc", "https://pan.quark.cn/s/5bfa3a8ed3bc")</f>
        <v>https://pan.quark.cn/s/5bfa3a8ed3bc</v>
      </c>
      <c r="C740" t="inlineStr">
        <is>
          <t>323M</t>
        </is>
      </c>
      <c r="D740" t="inlineStr">
        <is>
          <t>/冀教版数学/备考/满分/K12/学龄儿童家长</t>
        </is>
      </c>
      <c r="E740" t="inlineStr">
        <is>
          <t>https://dcn8qexvg13r.feishu.cn/share/base/query/shrcnMqxwwRkV3NUIUxPeab3sec</t>
        </is>
      </c>
      <c r="F740" t="inlineStr">
        <is>
          <t>请添加微信：k846211</t>
        </is>
      </c>
      <c r="G740" t="inlineStr">
        <is>
          <t>2025-12-08</t>
        </is>
      </c>
    </row>
    <row r="741" ht="25.5" customHeight="1">
      <c r="A741" t="inlineStr">
        <is>
          <t>15天满分备考上册北师大数学</t>
        </is>
      </c>
      <c r="B741" s="2" t="str">
        <f>=HYPERLINK("https://pan.quark.cn/s/52b9a685dee3", "https://pan.quark.cn/s/52b9a685dee3")</f>
        <v>https://pan.quark.cn/s/52b9a685dee3</v>
      </c>
      <c r="C741" t="inlineStr">
        <is>
          <t>310.7M</t>
        </is>
      </c>
      <c r="D741" t="inlineStr">
        <is>
          <t>/北师大数学/上册/15天备考/满分备考/K12/学龄儿童家长</t>
        </is>
      </c>
      <c r="E741" t="inlineStr">
        <is>
          <t>https://dcn8qexvg13r.feishu.cn/share/base/query/shrcnMqxwwRkV3NUIUxPeab3sec</t>
        </is>
      </c>
      <c r="F741" t="inlineStr">
        <is>
          <t>请添加微信：k846211</t>
        </is>
      </c>
      <c r="G741" t="inlineStr">
        <is>
          <t>2025-12-08</t>
        </is>
      </c>
    </row>
    <row r="742" ht="25.5" customHeight="1">
      <c r="A742" t="inlineStr">
        <is>
          <t>15天满分备考上册苏教版数学</t>
        </is>
      </c>
      <c r="B742" s="2" t="str">
        <f>=HYPERLINK("https://pan.quark.cn/s/ccd029e78316", "https://pan.quark.cn/s/ccd029e78316")</f>
        <v>https://pan.quark.cn/s/ccd029e78316</v>
      </c>
      <c r="C742" t="inlineStr">
        <is>
          <t>299.1M</t>
        </is>
      </c>
      <c r="D742" t="inlineStr">
        <is>
          <t>/苏教版数学/备考/上册/15天/K12/学龄儿童家长</t>
        </is>
      </c>
      <c r="E742" t="inlineStr">
        <is>
          <t>https://dcn8qexvg13r.feishu.cn/share/base/query/shrcnMqxwwRkV3NUIUxPeab3sec</t>
        </is>
      </c>
      <c r="F742" t="inlineStr">
        <is>
          <t>请添加微信：k846211</t>
        </is>
      </c>
      <c r="G742" t="inlineStr">
        <is>
          <t>2025-12-08</t>
        </is>
      </c>
    </row>
    <row r="743" ht="25.5" customHeight="1">
      <c r="A743" t="inlineStr">
        <is>
          <t>15天满分备考语文1-6年级上册</t>
        </is>
      </c>
      <c r="B743" s="2" t="str">
        <f>=HYPERLINK("https://pan.quark.cn/s/bb36fe89059d", "https://pan.quark.cn/s/bb36fe89059d")</f>
        <v>https://pan.quark.cn/s/bb36fe89059d</v>
      </c>
      <c r="C743" t="inlineStr">
        <is>
          <t>369.3M</t>
        </is>
      </c>
      <c r="D743" t="inlineStr">
        <is>
          <t>/语文备考/1-6年级上册/15天速成/满分备考/宝妈/家长群体/学龄儿童家长</t>
        </is>
      </c>
      <c r="E743" t="inlineStr">
        <is>
          <t>https://dcn8qexvg13r.feishu.cn/share/base/query/shrcnMqxwwRkV3NUIUxPeab3sec</t>
        </is>
      </c>
      <c r="F743" t="inlineStr">
        <is>
          <t>请添加微信：k846211</t>
        </is>
      </c>
      <c r="G743" t="inlineStr">
        <is>
          <t>2025-12-08</t>
        </is>
      </c>
    </row>
    <row r="744" ht="25.5" customHeight="1">
      <c r="A744" t="inlineStr">
        <is>
          <t>清华大学《状元笔记》初中合集</t>
        </is>
      </c>
      <c r="B744" s="2" t="str">
        <f>=HYPERLINK("https://pan.quark.cn/s/090908bad45c", "https://pan.quark.cn/s/090908bad45c")</f>
        <v>https://pan.quark.cn/s/090908bad45c</v>
      </c>
      <c r="C744" t="inlineStr">
        <is>
          <t>669.5M</t>
        </is>
      </c>
      <c r="D744" t="inlineStr">
        <is>
          <t>/初中/状元笔记/学习笔记/备考/K12/学龄儿童家长</t>
        </is>
      </c>
      <c r="E744" t="inlineStr">
        <is>
          <t>https://dcn8qexvg13r.feishu.cn/share/base/query/shrcnMqxwwRkV3NUIUxPeab3sec</t>
        </is>
      </c>
      <c r="F744" t="inlineStr">
        <is>
          <t>请添加微信：k846211</t>
        </is>
      </c>
      <c r="G744" t="inlineStr">
        <is>
          <t>2025-12-08</t>
        </is>
      </c>
    </row>
    <row r="745" ht="25.5" customHeight="1">
      <c r="A745" t="inlineStr">
        <is>
          <t>清华大学《状元笔记》高中合集</t>
        </is>
      </c>
      <c r="B745" s="2" t="str">
        <f>=HYPERLINK("https://pan.quark.cn/s/9091a7e09865", "https://pan.quark.cn/s/9091a7e09865")</f>
        <v>https://pan.quark.cn/s/9091a7e09865</v>
      </c>
      <c r="C745" t="inlineStr">
        <is>
          <t>2.4G</t>
        </is>
      </c>
      <c r="D745" t="inlineStr">
        <is>
          <t>/高中/状元笔记/学习笔记/学习方法/K12/学龄儿童家长</t>
        </is>
      </c>
      <c r="E745" t="inlineStr">
        <is>
          <t>https://dcn8qexvg13r.feishu.cn/share/base/query/shrcnMqxwwRkV3NUIUxPeab3sec</t>
        </is>
      </c>
      <c r="F745" t="inlineStr">
        <is>
          <t>请添加微信：k846211</t>
        </is>
      </c>
      <c r="G745" t="inlineStr">
        <is>
          <t>2025-12-08</t>
        </is>
      </c>
    </row>
    <row r="746" ht="25.5" customHeight="1">
      <c r="A746" t="inlineStr">
        <is>
          <t>2025秋一本课后小练习1-6数学人教版</t>
        </is>
      </c>
      <c r="B746" s="2" t="str">
        <f>=HYPERLINK("https://pan.quark.cn/s/9b6bd193595e", "https://pan.quark.cn/s/9b6bd193595e")</f>
        <v>https://pan.quark.cn/s/9b6bd193595e</v>
      </c>
      <c r="C746" t="inlineStr">
        <is>
          <t>669.4M</t>
        </is>
      </c>
      <c r="D746" t="inlineStr">
        <is>
          <t>/数学/课后练习/人教版/小学1-6年级/K12/学龄儿童家长</t>
        </is>
      </c>
      <c r="E746" t="inlineStr">
        <is>
          <t>https://dcn8qexvg13r.feishu.cn/share/base/query/shrcnMqxwwRkV3NUIUxPeab3sec</t>
        </is>
      </c>
      <c r="F746" t="inlineStr">
        <is>
          <t>请添加微信：k846211</t>
        </is>
      </c>
      <c r="G746" t="inlineStr">
        <is>
          <t>2025-12-08</t>
        </is>
      </c>
    </row>
    <row r="747" ht="25.5" customHeight="1">
      <c r="A747" t="inlineStr">
        <is>
          <t>25秋1-6年级数学思维练习</t>
        </is>
      </c>
      <c r="B747" s="2" t="str">
        <f>=HYPERLINK("https://pan.quark.cn/s/ba9d4f2bb2cb", "https://pan.quark.cn/s/ba9d4f2bb2cb")</f>
        <v>https://pan.quark.cn/s/ba9d4f2bb2cb</v>
      </c>
      <c r="C747" t="inlineStr">
        <is>
          <t>14.1M</t>
        </is>
      </c>
      <c r="D747" t="inlineStr">
        <is>
          <t>/数学思维/练习/1-6年级/K12/学龄儿童家长</t>
        </is>
      </c>
      <c r="E747" t="inlineStr">
        <is>
          <t>https://dcn8qexvg13r.feishu.cn/share/base/query/shrcnMqxwwRkV3NUIUxPeab3sec</t>
        </is>
      </c>
      <c r="F747" t="inlineStr">
        <is>
          <t>请添加微信：k846211</t>
        </is>
      </c>
      <c r="G747" t="inlineStr">
        <is>
          <t>2025-12-08</t>
        </is>
      </c>
    </row>
    <row r="748" ht="25.5" customHeight="1">
      <c r="A748" t="inlineStr">
        <is>
          <t>25秋新版开心活页默写人教版语文</t>
        </is>
      </c>
      <c r="B748" s="2" t="str">
        <f>=HYPERLINK("https://pan.quark.cn/s/0ae8cf63a965", "https://pan.quark.cn/s/0ae8cf63a965")</f>
        <v>https://pan.quark.cn/s/0ae8cf63a965</v>
      </c>
      <c r="C748" t="inlineStr">
        <is>
          <t>93.8M</t>
        </is>
      </c>
      <c r="D748" t="inlineStr">
        <is>
          <t>/语文/默写练习/人教版/25秋/K12/学龄儿童家长</t>
        </is>
      </c>
      <c r="E748" t="inlineStr">
        <is>
          <t>https://dcn8qexvg13r.feishu.cn/share/base/query/shrcnMqxwwRkV3NUIUxPeab3sec</t>
        </is>
      </c>
      <c r="F748" t="inlineStr">
        <is>
          <t>请添加微信：k846211</t>
        </is>
      </c>
      <c r="G748" t="inlineStr">
        <is>
          <t>2025-12-08</t>
        </is>
      </c>
    </row>
    <row r="749" ht="25.5" customHeight="1">
      <c r="A749" t="inlineStr">
        <is>
          <t>一本《小学英语 课后小练习》人教 25秋</t>
        </is>
      </c>
      <c r="B749" s="2" t="str">
        <f>=HYPERLINK("https://pan.quark.cn/s/e374618008c6", "https://pan.quark.cn/s/e374618008c6")</f>
        <v>https://pan.quark.cn/s/e374618008c6</v>
      </c>
      <c r="C749" t="inlineStr">
        <is>
          <t>432M</t>
        </is>
      </c>
      <c r="D749" t="inlineStr">
        <is>
          <t>/小学英语/课后练习/人教版/K12/学龄儿童家长</t>
        </is>
      </c>
      <c r="E749" t="inlineStr">
        <is>
          <t>https://dcn8qexvg13r.feishu.cn/share/base/query/shrcnMqxwwRkV3NUIUxPeab3sec</t>
        </is>
      </c>
      <c r="F749" t="inlineStr">
        <is>
          <t>请添加微信：k846211</t>
        </is>
      </c>
      <c r="G749" t="inlineStr">
        <is>
          <t>2025-12-08</t>
        </is>
      </c>
    </row>
    <row r="750" ht="25.5" customHeight="1">
      <c r="A750" t="inlineStr">
        <is>
          <t>06好芳法 大语文(完结)</t>
        </is>
      </c>
      <c r="B750" s="2" t="str">
        <f>=HYPERLINK("https://pan.quark.cn/s/7eae8f643d68", "https://pan.quark.cn/s/7eae8f643d68")</f>
        <v>https://pan.quark.cn/s/7eae8f643d68</v>
      </c>
      <c r="C750" t="inlineStr">
        <is>
          <t>560.3M</t>
        </is>
      </c>
      <c r="D750" t="inlineStr">
        <is>
          <t>/大语文/课程/完结/K12/宝妈/家长群体/学龄儿童家长</t>
        </is>
      </c>
      <c r="E750" t="inlineStr">
        <is>
          <t>https://dcn8qexvg13r.feishu.cn/share/base/query/shrcnMqxwwRkV3NUIUxPeab3sec</t>
        </is>
      </c>
      <c r="F750" t="inlineStr">
        <is>
          <t>请添加微信：k846211</t>
        </is>
      </c>
      <c r="G750" t="inlineStr">
        <is>
          <t>2025-12-08</t>
        </is>
      </c>
    </row>
    <row r="751" ht="25.5" customHeight="1">
      <c r="A751" t="inlineStr">
        <is>
          <t>07王芳拼音（完结）</t>
        </is>
      </c>
      <c r="B751" s="2" t="str">
        <f>=HYPERLINK("https://pan.quark.cn/s/d077111fa6d4", "https://pan.quark.cn/s/d077111fa6d4")</f>
        <v>https://pan.quark.cn/s/d077111fa6d4</v>
      </c>
      <c r="C751" t="inlineStr">
        <is>
          <t>4.3G</t>
        </is>
      </c>
      <c r="D751" t="inlineStr">
        <is>
          <t>/拼音/儿童教育/完结课程/学龄儿童家长/宝妈/家长群体</t>
        </is>
      </c>
      <c r="E751" t="inlineStr">
        <is>
          <t>https://dcn8qexvg13r.feishu.cn/share/base/query/shrcnMqxwwRkV3NUIUxPeab3sec</t>
        </is>
      </c>
      <c r="F751" t="inlineStr">
        <is>
          <t>请添加微信：k846211</t>
        </is>
      </c>
      <c r="G751" t="inlineStr">
        <is>
          <t>2025-12-08</t>
        </is>
      </c>
    </row>
    <row r="752" ht="25.5" customHeight="1">
      <c r="A752" t="inlineStr">
        <is>
          <t>14王芳-识字课(完结)</t>
        </is>
      </c>
      <c r="B752" s="2" t="str">
        <f>=HYPERLINK("https://pan.quark.cn/s/77a01373d056", "https://pan.quark.cn/s/77a01373d056")</f>
        <v>https://pan.quark.cn/s/77a01373d056</v>
      </c>
      <c r="C752" t="inlineStr">
        <is>
          <t>2.1G</t>
        </is>
      </c>
      <c r="D752" t="inlineStr">
        <is>
          <t>/识字/课程/儿童教育/王芳/学龄儿童家长/宝妈/家长群体</t>
        </is>
      </c>
      <c r="E752" t="inlineStr">
        <is>
          <t>https://dcn8qexvg13r.feishu.cn/share/base/query/shrcnMqxwwRkV3NUIUxPeab3sec</t>
        </is>
      </c>
      <c r="F752" t="inlineStr">
        <is>
          <t>请添加微信：k846211</t>
        </is>
      </c>
      <c r="G752" t="inlineStr">
        <is>
          <t>2025-12-08</t>
        </is>
      </c>
    </row>
    <row r="753" ht="25.5" customHeight="1">
      <c r="A753" t="inlineStr">
        <is>
          <t>16王芳如何写好作文（完结）</t>
        </is>
      </c>
      <c r="B753" s="2" t="str">
        <f>=HYPERLINK("https://pan.quark.cn/s/9cedcccc2b82", "https://pan.quark.cn/s/9cedcccc2b82")</f>
        <v>https://pan.quark.cn/s/9cedcccc2b82</v>
      </c>
      <c r="C753" t="inlineStr">
        <is>
          <t>88.2M</t>
        </is>
      </c>
      <c r="D753" t="inlineStr">
        <is>
          <t>/作文写作/王芳/写作指导/学习教程/K12/学龄儿童家长</t>
        </is>
      </c>
      <c r="E753" t="inlineStr">
        <is>
          <t>https://dcn8qexvg13r.feishu.cn/share/base/query/shrcnMqxwwRkV3NUIUxPeab3sec</t>
        </is>
      </c>
      <c r="F753" t="inlineStr">
        <is>
          <t>请添加微信：k846211</t>
        </is>
      </c>
      <c r="G753" t="inlineStr">
        <is>
          <t>2025-12-08</t>
        </is>
      </c>
    </row>
    <row r="754" ht="25.5" customHeight="1">
      <c r="A754" t="inlineStr">
        <is>
          <t>17好芳法自然拼读(完结)</t>
        </is>
      </c>
      <c r="B754" s="2" t="str">
        <f>=HYPERLINK("https://pan.quark.cn/s/9fb49f6f0bbd", "https://pan.quark.cn/s/9fb49f6f0bbd")</f>
        <v>https://pan.quark.cn/s/9fb49f6f0bbd</v>
      </c>
      <c r="C754" t="inlineStr">
        <is>
          <t>3G</t>
        </is>
      </c>
      <c r="D754" t="inlineStr">
        <is>
          <t>/自然拼读/课程/儿童英语/英语启蒙/宝妈/家长群体/学龄儿童家长</t>
        </is>
      </c>
      <c r="E754" t="inlineStr">
        <is>
          <t>https://dcn8qexvg13r.feishu.cn/share/base/query/shrcnMqxwwRkV3NUIUxPeab3sec</t>
        </is>
      </c>
      <c r="F754" t="inlineStr">
        <is>
          <t>请添加微信：k846211</t>
        </is>
      </c>
      <c r="G754" t="inlineStr">
        <is>
          <t>2025-12-08</t>
        </is>
      </c>
    </row>
    <row r="755" ht="25.5" customHeight="1">
      <c r="A755" t="inlineStr">
        <is>
          <t>王芳2025知识脱口秀（更新到12月3日）</t>
        </is>
      </c>
      <c r="B755" s="2" t="str">
        <f>=HYPERLINK("https://pan.quark.cn/s/dc4d17e872c2", "https://pan.quark.cn/s/dc4d17e872c2")</f>
        <v>https://pan.quark.cn/s/dc4d17e872c2</v>
      </c>
      <c r="C755" t="inlineStr">
        <is>
          <t>1.6G</t>
        </is>
      </c>
      <c r="D755" t="inlineStr">
        <is>
          <t>/知识脱口秀/王芳/2025/宝妈/家长群体/学龄儿童家长</t>
        </is>
      </c>
      <c r="E755" t="inlineStr">
        <is>
          <t>https://dcn8qexvg13r.feishu.cn/share/base/query/shrcnMqxwwRkV3NUIUxPeab3sec</t>
        </is>
      </c>
      <c r="F755" t="inlineStr">
        <is>
          <t>请添加微信：k846211</t>
        </is>
      </c>
      <c r="G755" t="inlineStr">
        <is>
          <t>2025-12-08</t>
        </is>
      </c>
    </row>
    <row r="756" ht="25.5" customHeight="1">
      <c r="A756" t="inlineStr">
        <is>
          <t>王芳老师系列 历史地理(1)</t>
        </is>
      </c>
      <c r="B756" s="2" t="str">
        <f>=HYPERLINK("https://pan.quark.cn/s/530310fa0a06", "https://pan.quark.cn/s/530310fa0a06")</f>
        <v>https://pan.quark.cn/s/530310fa0a06</v>
      </c>
      <c r="C756" t="inlineStr">
        <is>
          <t>15.8G</t>
        </is>
      </c>
      <c r="D756" t="inlineStr">
        <is>
          <t>/历史/地理/王芳老师/K12/学龄儿童家长</t>
        </is>
      </c>
      <c r="E756" t="inlineStr">
        <is>
          <t>https://dcn8qexvg13r.feishu.cn/share/base/query/shrcnMqxwwRkV3NUIUxPeab3sec</t>
        </is>
      </c>
      <c r="F756" t="inlineStr">
        <is>
          <t>请添加微信：k846211</t>
        </is>
      </c>
      <c r="G756" t="inlineStr">
        <is>
          <t>2025-12-08</t>
        </is>
      </c>
    </row>
    <row r="757" ht="25.5" customHeight="1">
      <c r="A757" t="inlineStr">
        <is>
          <t>王芳老师系列 脱口秀</t>
        </is>
      </c>
      <c r="B757" s="2" t="str">
        <f>=HYPERLINK("https://pan.quark.cn/s/dc61c6280576", "https://pan.quark.cn/s/dc61c6280576")</f>
        <v>https://pan.quark.cn/s/dc61c6280576</v>
      </c>
      <c r="C757" t="inlineStr">
        <is>
          <t>9.3G</t>
        </is>
      </c>
      <c r="D757" t="inlineStr">
        <is>
          <t>/王芳老师/脱口秀/教育/娱乐/宝妈/家长群体/学龄儿童家长</t>
        </is>
      </c>
      <c r="E757" t="inlineStr">
        <is>
          <t>https://dcn8qexvg13r.feishu.cn/share/base/query/shrcnMqxwwRkV3NUIUxPeab3sec</t>
        </is>
      </c>
      <c r="F757" t="inlineStr">
        <is>
          <t>请添加微信：k846211</t>
        </is>
      </c>
      <c r="G757" t="inlineStr">
        <is>
          <t>2025-12-08</t>
        </is>
      </c>
    </row>
    <row r="758" ht="25.5" customHeight="1">
      <c r="A758" t="inlineStr">
        <is>
          <t>王芳中小学必备古文讲解课</t>
        </is>
      </c>
      <c r="B758" s="2" t="str">
        <f>=HYPERLINK("https://pan.quark.cn/s/dd0d74038a79", "https://pan.quark.cn/s/dd0d74038a79")</f>
        <v>https://pan.quark.cn/s/dd0d74038a79</v>
      </c>
      <c r="C758" t="inlineStr">
        <is>
          <t>14.7G</t>
        </is>
      </c>
      <c r="D758" t="inlineStr">
        <is>
          <t>/古文/中小学/讲解课/课程/K12/学龄儿童家长</t>
        </is>
      </c>
      <c r="E758" t="inlineStr">
        <is>
          <t>https://dcn8qexvg13r.feishu.cn/share/base/query/shrcnMqxwwRkV3NUIUxPeab3sec</t>
        </is>
      </c>
      <c r="F758" t="inlineStr">
        <is>
          <t>请添加微信：k846211</t>
        </is>
      </c>
      <c r="G758" t="inlineStr">
        <is>
          <t>2025-12-08</t>
        </is>
      </c>
    </row>
    <row r="759" ht="25.5" customHeight="1">
      <c r="A759" t="inlineStr">
        <is>
          <t>杨长胜老师 攻克汉语语法难关（完结）</t>
        </is>
      </c>
      <c r="B759" s="2" t="str">
        <f>=HYPERLINK("https://pan.quark.cn/s/c0cc99421aee", "https://pan.quark.cn/s/c0cc99421aee")</f>
        <v>https://pan.quark.cn/s/c0cc99421aee</v>
      </c>
      <c r="C759" t="inlineStr">
        <is>
          <t>1.4G</t>
        </is>
      </c>
      <c r="D759" t="inlineStr">
        <is>
          <t>/汉语语法/语法攻克/杨长胜/语言/大学生/考研/考公/考证党</t>
        </is>
      </c>
      <c r="E759" t="inlineStr">
        <is>
          <t>https://dcn8qexvg13r.feishu.cn/share/base/query/shrcnMqxwwRkV3NUIUxPeab3sec</t>
        </is>
      </c>
      <c r="F759" t="inlineStr">
        <is>
          <t>请添加微信：k846211</t>
        </is>
      </c>
      <c r="G759" t="inlineStr">
        <is>
          <t>2025-12-08</t>
        </is>
      </c>
    </row>
    <row r="760" ht="25.5" customHeight="1">
      <c r="A760" t="inlineStr">
        <is>
          <t>【完结】 好芳法手抄报</t>
        </is>
      </c>
      <c r="B760" s="2" t="str">
        <f>=HYPERLINK("https://pan.quark.cn/s/72c2ca1c57f8", "https://pan.quark.cn/s/72c2ca1c57f8")</f>
        <v>https://pan.quark.cn/s/72c2ca1c57f8</v>
      </c>
      <c r="C760" t="inlineStr">
        <is>
          <t>2.3G</t>
        </is>
      </c>
      <c r="D760" t="inlineStr">
        <is>
          <t>/手抄报/好芳法/完结/学龄儿童家长/K12</t>
        </is>
      </c>
      <c r="E760" t="inlineStr">
        <is>
          <t>https://dcn8qexvg13r.feishu.cn/share/base/query/shrcnMqxwwRkV3NUIUxPeab3sec</t>
        </is>
      </c>
      <c r="F760" t="inlineStr">
        <is>
          <t>请添加微信：k846211</t>
        </is>
      </c>
      <c r="G760" t="inlineStr">
        <is>
          <t>2025-12-08</t>
        </is>
      </c>
    </row>
    <row r="761" ht="25.5" customHeight="1">
      <c r="A761" t="inlineStr">
        <is>
          <t>【完结】超级记忆力 姬广亮</t>
        </is>
      </c>
      <c r="B761" s="2" t="str">
        <f>=HYPERLINK("https://pan.quark.cn/s/b5572c10f701", "https://pan.quark.cn/s/b5572c10f701")</f>
        <v>https://pan.quark.cn/s/b5572c10f701</v>
      </c>
      <c r="C761" t="inlineStr">
        <is>
          <t>2.5G</t>
        </is>
      </c>
      <c r="D761" t="inlineStr">
        <is>
          <t>/超级记忆力/完结课程/记忆提升/技能入门/大学生/考研/考公/考证党/白领</t>
        </is>
      </c>
      <c r="E761" t="inlineStr">
        <is>
          <t>https://dcn8qexvg13r.feishu.cn/share/base/query/shrcnMqxwwRkV3NUIUxPeab3sec</t>
        </is>
      </c>
      <c r="F761" t="inlineStr">
        <is>
          <t>请添加微信：k846211</t>
        </is>
      </c>
      <c r="G761" t="inlineStr">
        <is>
          <t>2025-12-08</t>
        </is>
      </c>
    </row>
    <row r="762" ht="25.5" customHeight="1">
      <c r="A762" t="inlineStr">
        <is>
          <t>【完结】给孩子的情商课</t>
        </is>
      </c>
      <c r="B762" s="2" t="str">
        <f>=HYPERLINK("https://pan.quark.cn/s/710c934fd159", "https://pan.quark.cn/s/710c934fd159")</f>
        <v>https://pan.quark.cn/s/710c934fd159</v>
      </c>
      <c r="C762" t="inlineStr">
        <is>
          <t>405.8M</t>
        </is>
      </c>
      <c r="D762" t="inlineStr">
        <is>
          <t>/情商课/儿童教育/亲子教育/完结课程/宝妈/家长群体/学龄儿童家长</t>
        </is>
      </c>
      <c r="E762" t="inlineStr">
        <is>
          <t>https://dcn8qexvg13r.feishu.cn/share/base/query/shrcnMqxwwRkV3NUIUxPeab3sec</t>
        </is>
      </c>
      <c r="F762" t="inlineStr">
        <is>
          <t>请添加微信：k846211</t>
        </is>
      </c>
      <c r="G762" t="inlineStr">
        <is>
          <t>2025-12-08</t>
        </is>
      </c>
    </row>
    <row r="763" ht="25.5" customHeight="1">
      <c r="A763" t="inlineStr">
        <is>
          <t>【完结】给孩子的主持与口才课</t>
        </is>
      </c>
      <c r="B763" s="2" t="str">
        <f>=HYPERLINK("https://pan.quark.cn/s/5795b25a3c82", "https://pan.quark.cn/s/5795b25a3c82")</f>
        <v>https://pan.quark.cn/s/5795b25a3c82</v>
      </c>
      <c r="C763" t="inlineStr">
        <is>
          <t>103.7M</t>
        </is>
      </c>
      <c r="D763" t="inlineStr">
        <is>
          <t>/主持/口才/儿童教育/课程/K12/宝妈/家长群体</t>
        </is>
      </c>
      <c r="E763" t="inlineStr">
        <is>
          <t>https://dcn8qexvg13r.feishu.cn/share/base/query/shrcnMqxwwRkV3NUIUxPeab3sec</t>
        </is>
      </c>
      <c r="F763" t="inlineStr">
        <is>
          <t>请添加微信：k846211</t>
        </is>
      </c>
      <c r="G763" t="inlineStr">
        <is>
          <t>2025-12-08</t>
        </is>
      </c>
    </row>
    <row r="764" ht="25.5" customHeight="1">
      <c r="A764" t="inlineStr">
        <is>
          <t>【完结】那威-和那威学五子棋</t>
        </is>
      </c>
      <c r="B764" s="2" t="str">
        <f>=HYPERLINK("https://pan.quark.cn/s/c89dacc4d41b", "https://pan.quark.cn/s/c89dacc4d41b")</f>
        <v>https://pan.quark.cn/s/c89dacc4d41b</v>
      </c>
      <c r="C764" t="inlineStr">
        <is>
          <t>1.5G</t>
        </is>
      </c>
      <c r="D764" t="inlineStr">
        <is>
          <t>/五子棋/那威/技能入门/完结/技能入门</t>
        </is>
      </c>
      <c r="E764" t="inlineStr">
        <is>
          <t>https://dcn8qexvg13r.feishu.cn/share/base/query/shrcnMqxwwRkV3NUIUxPeab3sec</t>
        </is>
      </c>
      <c r="F764" t="inlineStr">
        <is>
          <t>请添加微信：k846211</t>
        </is>
      </c>
      <c r="G764" t="inlineStr">
        <is>
          <t>2025-12-08</t>
        </is>
      </c>
    </row>
    <row r="765" ht="25.5" customHeight="1">
      <c r="A765" t="inlineStr">
        <is>
          <t>【完结】王芳神奇粘土课</t>
        </is>
      </c>
      <c r="B765" s="2" t="str">
        <f>=HYPERLINK("https://pan.quark.cn/s/c027dbbd02ee", "https://pan.quark.cn/s/c027dbbd02ee")</f>
        <v>https://pan.quark.cn/s/c027dbbd02ee</v>
      </c>
      <c r="C765" t="inlineStr">
        <is>
          <t>2G</t>
        </is>
      </c>
      <c r="D765" t="inlineStr">
        <is>
          <t>/粘土/儿童手工/创意课程/完结课程/宝妈/家长群体/学龄儿童家长</t>
        </is>
      </c>
      <c r="E765" t="inlineStr">
        <is>
          <t>https://dcn8qexvg13r.feishu.cn/share/base/query/shrcnMqxwwRkV3NUIUxPeab3sec</t>
        </is>
      </c>
      <c r="F765" t="inlineStr">
        <is>
          <t>请添加微信：k846211</t>
        </is>
      </c>
      <c r="G765" t="inlineStr">
        <is>
          <t>2025-12-08</t>
        </is>
      </c>
    </row>
    <row r="766" ht="25.5" customHeight="1">
      <c r="A766" t="inlineStr">
        <is>
          <t>【完结】王芳注意力课程</t>
        </is>
      </c>
      <c r="B766" s="2" t="str">
        <f>=HYPERLINK("https://pan.quark.cn/s/4692fc46b7a2", "https://pan.quark.cn/s/4692fc46b7a2")</f>
        <v>https://pan.quark.cn/s/4692fc46b7a2</v>
      </c>
      <c r="C766" t="inlineStr">
        <is>
          <t>56.4M</t>
        </is>
      </c>
      <c r="D766" t="inlineStr">
        <is>
          <t>/注意力/课程/完结/K12/学龄儿童家长</t>
        </is>
      </c>
      <c r="E766" t="inlineStr">
        <is>
          <t>https://dcn8qexvg13r.feishu.cn/share/base/query/shrcnMqxwwRkV3NUIUxPeab3sec</t>
        </is>
      </c>
      <c r="F766" t="inlineStr">
        <is>
          <t>请添加微信：k846211</t>
        </is>
      </c>
      <c r="G766" t="inlineStr">
        <is>
          <t>2025-12-08</t>
        </is>
      </c>
    </row>
    <row r="767" ht="25.5" customHeight="1">
      <c r="A767" t="inlineStr">
        <is>
          <t>【完结】王玥-快板入门</t>
        </is>
      </c>
      <c r="B767" s="2" t="str">
        <f>=HYPERLINK("https://pan.quark.cn/s/46576ffb0feb", "https://pan.quark.cn/s/46576ffb0feb")</f>
        <v>https://pan.quark.cn/s/46576ffb0feb</v>
      </c>
      <c r="C767" t="inlineStr">
        <is>
          <t>1.4G</t>
        </is>
      </c>
      <c r="D767" t="inlineStr">
        <is>
          <t>/快板/入门教程/技能学习/王玥/技能入门/乐器</t>
        </is>
      </c>
      <c r="E767" t="inlineStr">
        <is>
          <t>https://dcn8qexvg13r.feishu.cn/share/base/query/shrcnMqxwwRkV3NUIUxPeab3sec</t>
        </is>
      </c>
      <c r="F767" t="inlineStr">
        <is>
          <t>请添加微信：k846211</t>
        </is>
      </c>
      <c r="G767" t="inlineStr">
        <is>
          <t>2025-12-08</t>
        </is>
      </c>
    </row>
    <row r="768" ht="25.5" customHeight="1">
      <c r="A768" t="inlineStr">
        <is>
          <t>【完结】小学生家长必修10节课</t>
        </is>
      </c>
      <c r="B768" s="2" t="str">
        <f>=HYPERLINK("https://pan.quark.cn/s/eaef17743d3a", "https://pan.quark.cn/s/eaef17743d3a")</f>
        <v>https://pan.quark.cn/s/eaef17743d3a</v>
      </c>
      <c r="C768" t="inlineStr">
        <is>
          <t>175M</t>
        </is>
      </c>
      <c r="D768" t="inlineStr">
        <is>
          <t>/小学生家长/必修课程/家庭教育/育儿指导/宝妈/家长群体/学龄儿童家长</t>
        </is>
      </c>
      <c r="E768" t="inlineStr">
        <is>
          <t>https://dcn8qexvg13r.feishu.cn/share/base/query/shrcnMqxwwRkV3NUIUxPeab3sec</t>
        </is>
      </c>
      <c r="F768" t="inlineStr">
        <is>
          <t>请添加微信：k846211</t>
        </is>
      </c>
      <c r="G768" t="inlineStr">
        <is>
          <t>2025-12-08</t>
        </is>
      </c>
    </row>
    <row r="769" ht="25.5" customHeight="1">
      <c r="A769" t="inlineStr">
        <is>
          <t>🔥王芳老师阅读理解汇总（视频+ P D F）</t>
        </is>
      </c>
      <c r="B769" s="2" t="str">
        <f>=HYPERLINK("https://pan.quark.cn/s/d7b7cadaae25", "https://pan.quark.cn/s/d7b7cadaae25")</f>
        <v>https://pan.quark.cn/s/d7b7cadaae25</v>
      </c>
      <c r="C769" t="inlineStr">
        <is>
          <t>26G</t>
        </is>
      </c>
      <c r="D769" t="inlineStr">
        <is>
          <t>/王芳老师/阅读理解/视频/PDF/学龄儿童家长/K12</t>
        </is>
      </c>
      <c r="E769" t="inlineStr">
        <is>
          <t>https://dcn8qexvg13r.feishu.cn/share/base/query/shrcnMqxwwRkV3NUIUxPeab3sec</t>
        </is>
      </c>
      <c r="F769" t="inlineStr">
        <is>
          <t>请添加微信：k846211</t>
        </is>
      </c>
      <c r="G769" t="inlineStr">
        <is>
          <t>2025-12-08</t>
        </is>
      </c>
    </row>
    <row r="770" ht="25.5" customHeight="1">
      <c r="A770" t="inlineStr">
        <is>
          <t>樊登读书会历年合集（按类别分类）珍藏版 音频版+视频版，随时听，随时看！</t>
        </is>
      </c>
      <c r="B770" s="2" t="str">
        <f>=HYPERLINK("https://pan.quark.cn/s/11abbbfc34f0", "https://pan.quark.cn/s/11abbbfc34f0")</f>
        <v>https://pan.quark.cn/s/11abbbfc34f0</v>
      </c>
      <c r="C770" t="inlineStr">
        <is>
          <t>92.5G</t>
        </is>
      </c>
      <c r="D770" t="inlineStr">
        <is>
          <t>/樊登读书会/音频/视频/随时学习/白领/管理者</t>
        </is>
      </c>
      <c r="E770" t="inlineStr">
        <is>
          <t>https://dcn8qexvg13r.feishu.cn/share/base/query/shrcnMqxwwRkV3NUIUxPeab3sec</t>
        </is>
      </c>
      <c r="F770" t="inlineStr">
        <is>
          <t>请添加微信：k846211</t>
        </is>
      </c>
      <c r="G770" t="inlineStr">
        <is>
          <t>2025-12-08</t>
        </is>
      </c>
    </row>
    <row r="771" ht="25.5" customHeight="1">
      <c r="A771" t="inlineStr">
        <is>
          <t>01 初中历史素养127节（完结）</t>
        </is>
      </c>
      <c r="B771" s="2" t="str">
        <f>=HYPERLINK("https://pan.quark.cn/s/f7eb2c71c30c", "https://pan.quark.cn/s/f7eb2c71c30c")</f>
        <v>https://pan.quark.cn/s/f7eb2c71c30c</v>
      </c>
      <c r="C771" t="inlineStr">
        <is>
          <t>971.1M</t>
        </is>
      </c>
      <c r="D771" t="inlineStr">
        <is>
          <t>/初中历史/素养提升/课程/K12/学龄儿童家长</t>
        </is>
      </c>
      <c r="E771" t="inlineStr">
        <is>
          <t>https://dcn8qexvg13r.feishu.cn/share/base/query/shrcnMqxwwRkV3NUIUxPeab3sec</t>
        </is>
      </c>
      <c r="F771" t="inlineStr">
        <is>
          <t>请添加微信：k846211</t>
        </is>
      </c>
      <c r="G771" t="inlineStr">
        <is>
          <t>2025-12-08</t>
        </is>
      </c>
    </row>
    <row r="772" ht="25.5" customHeight="1">
      <c r="A772" t="inlineStr">
        <is>
          <t>1.历史初三秋季课程规划</t>
        </is>
      </c>
      <c r="B772" s="2" t="str">
        <f>=HYPERLINK("https://pan.quark.cn/s/b971c9e77123", "https://pan.quark.cn/s/b971c9e77123")</f>
        <v>https://pan.quark.cn/s/b971c9e77123</v>
      </c>
      <c r="C772" t="inlineStr">
        <is>
          <t>44.1M</t>
        </is>
      </c>
      <c r="D772" t="inlineStr">
        <is>
          <t>/历史/初三/秋季/课程规划/K12/学龄儿童家长</t>
        </is>
      </c>
      <c r="E772" t="inlineStr">
        <is>
          <t>https://dcn8qexvg13r.feishu.cn/share/base/query/shrcnMqxwwRkV3NUIUxPeab3sec</t>
        </is>
      </c>
      <c r="F772" t="inlineStr">
        <is>
          <t>请添加微信：k846211</t>
        </is>
      </c>
      <c r="G772" t="inlineStr">
        <is>
          <t>2025-12-08</t>
        </is>
      </c>
    </row>
    <row r="773" ht="25.5" customHeight="1">
      <c r="A773" t="inlineStr">
        <is>
          <t>9.1-y胖辉老师九上历史近代史+九下历史全册</t>
        </is>
      </c>
      <c r="B773" s="2" t="str">
        <f>=HYPERLINK("https://pan.quark.cn/s/431ab4beadb0", "https://pan.quark.cn/s/431ab4beadb0")</f>
        <v>https://pan.quark.cn/s/431ab4beadb0</v>
      </c>
      <c r="C773" t="inlineStr">
        <is>
          <t>2.5G</t>
        </is>
      </c>
      <c r="D773" t="inlineStr">
        <is>
          <t>/九上历史/九下历史/近代史/胖辉老师/K12/学龄儿童家长</t>
        </is>
      </c>
      <c r="E773" t="inlineStr">
        <is>
          <t>https://dcn8qexvg13r.feishu.cn/share/base/query/shrcnMqxwwRkV3NUIUxPeab3sec</t>
        </is>
      </c>
      <c r="F773" t="inlineStr">
        <is>
          <t>请添加微信：k846211</t>
        </is>
      </c>
      <c r="G773" t="inlineStr">
        <is>
          <t>2025-12-08</t>
        </is>
      </c>
    </row>
    <row r="774" ht="25.5" customHeight="1">
      <c r="A774" t="inlineStr">
        <is>
          <t>2025初一【都运欢】-历史</t>
        </is>
      </c>
      <c r="B774" s="2" t="str">
        <f>=HYPERLINK("https://pan.quark.cn/s/00066cdac257", "https://pan.quark.cn/s/00066cdac257")</f>
        <v>https://pan.quark.cn/s/00066cdac257</v>
      </c>
      <c r="C774" t="inlineStr">
        <is>
          <t>2.7G</t>
        </is>
      </c>
      <c r="D774" t="inlineStr">
        <is>
          <t>/初一历史/都运欢/初中历史/K12/学龄儿童家长</t>
        </is>
      </c>
      <c r="E774" t="inlineStr">
        <is>
          <t>https://dcn8qexvg13r.feishu.cn/share/base/query/shrcnMqxwwRkV3NUIUxPeab3sec</t>
        </is>
      </c>
      <c r="F774" t="inlineStr">
        <is>
          <t>请添加微信：k846211</t>
        </is>
      </c>
      <c r="G774" t="inlineStr">
        <is>
          <t>2025-12-08</t>
        </is>
      </c>
    </row>
    <row r="775" ht="25.5" customHeight="1">
      <c r="A775" t="inlineStr">
        <is>
          <t>2025初二【历史】-都运欢</t>
        </is>
      </c>
      <c r="B775" s="2" t="str">
        <f>=HYPERLINK("https://pan.quark.cn/s/a499ef50da05", "https://pan.quark.cn/s/a499ef50da05")</f>
        <v>https://pan.quark.cn/s/a499ef50da05</v>
      </c>
      <c r="C775" t="inlineStr">
        <is>
          <t>5.8G</t>
        </is>
      </c>
      <c r="D775" t="inlineStr">
        <is>
          <t>/初二历史/都运欢/K12/</t>
        </is>
      </c>
      <c r="E775" t="inlineStr">
        <is>
          <t>https://dcn8qexvg13r.feishu.cn/share/base/query/shrcnMqxwwRkV3NUIUxPeab3sec</t>
        </is>
      </c>
      <c r="F775" t="inlineStr">
        <is>
          <t>请添加微信：k846211</t>
        </is>
      </c>
      <c r="G775" t="inlineStr">
        <is>
          <t>2025-12-08</t>
        </is>
      </c>
    </row>
    <row r="776" ht="25.5" customHeight="1">
      <c r="A776" t="inlineStr">
        <is>
          <t>包放历史</t>
        </is>
      </c>
      <c r="B776" s="2" t="str">
        <f>=HYPERLINK("https://pan.quark.cn/s/4d73e992373f", "https://pan.quark.cn/s/4d73e992373f")</f>
        <v>https://pan.quark.cn/s/4d73e992373f</v>
      </c>
      <c r="C776" t="inlineStr">
        <is>
          <t>802.3M</t>
        </is>
      </c>
      <c r="D776" t="inlineStr">
        <is>
          <t>历史/学习资料/知识普及/K12/大学生</t>
        </is>
      </c>
      <c r="E776" t="inlineStr">
        <is>
          <t>https://dcn8qexvg13r.feishu.cn/share/base/query/shrcnMqxwwRkV3NUIUxPeab3sec</t>
        </is>
      </c>
      <c r="F776" t="inlineStr">
        <is>
          <t>请添加微信：k846211</t>
        </is>
      </c>
      <c r="G776" t="inlineStr">
        <is>
          <t>2025-12-08</t>
        </is>
      </c>
    </row>
    <row r="777" ht="25.5" customHeight="1">
      <c r="A777" t="inlineStr">
        <is>
          <t>初中历史教材必备知识点笔记</t>
        </is>
      </c>
      <c r="B777" s="2" t="str">
        <f>=HYPERLINK("https://pan.quark.cn/s/c7a008850c0f", "https://pan.quark.cn/s/c7a008850c0f")</f>
        <v>https://pan.quark.cn/s/c7a008850c0f</v>
      </c>
      <c r="C777" t="inlineStr">
        <is>
          <t>602M</t>
        </is>
      </c>
      <c r="D777" t="inlineStr">
        <is>
          <t>/初中历史/知识点/笔记/学习资料/K12/学龄儿童家长</t>
        </is>
      </c>
      <c r="E777" t="inlineStr">
        <is>
          <t>https://dcn8qexvg13r.feishu.cn/share/base/query/shrcnMqxwwRkV3NUIUxPeab3sec</t>
        </is>
      </c>
      <c r="F777" t="inlineStr">
        <is>
          <t>请添加微信：k846211</t>
        </is>
      </c>
      <c r="G777" t="inlineStr">
        <is>
          <t>2025-12-08</t>
        </is>
      </c>
    </row>
    <row r="778" ht="25.5" customHeight="1">
      <c r="A778" t="inlineStr">
        <is>
          <t>王芳老师系列 历史地理</t>
        </is>
      </c>
      <c r="B778" s="2" t="str">
        <f>=HYPERLINK("https://pan.quark.cn/s/a951aa1161c6", "https://pan.quark.cn/s/a951aa1161c6")</f>
        <v>https://pan.quark.cn/s/a951aa1161c6</v>
      </c>
      <c r="C778" t="inlineStr">
        <is>
          <t>15.8G</t>
        </is>
      </c>
      <c r="D778" t="inlineStr">
        <is>
          <t>/历史/地理/王芳老师/K12/学龄儿童家长</t>
        </is>
      </c>
      <c r="E778" t="inlineStr">
        <is>
          <t>https://dcn8qexvg13r.feishu.cn/share/base/query/shrcnMqxwwRkV3NUIUxPeab3sec</t>
        </is>
      </c>
      <c r="F778" t="inlineStr">
        <is>
          <t>请添加微信：k846211</t>
        </is>
      </c>
      <c r="G778" t="inlineStr">
        <is>
          <t>2025-12-08</t>
        </is>
      </c>
    </row>
    <row r="779" ht="25.5" customHeight="1">
      <c r="A779" t="inlineStr">
        <is>
          <t>《如果历史是一群喵》1-12季</t>
        </is>
      </c>
      <c r="B779" s="2" t="str">
        <f>=HYPERLINK("https://pan.quark.cn/s/85dc6108f796", "https://pan.quark.cn/s/85dc6108f796")</f>
        <v>https://pan.quark.cn/s/85dc6108f796</v>
      </c>
      <c r="C779" t="inlineStr">
        <is>
          <t>21.8G</t>
        </is>
      </c>
      <c r="D779" t="inlineStr">
        <is>
          <t>/历史/动漫/趣味科普/喵星人/学龄儿童家长/动漫</t>
        </is>
      </c>
      <c r="E779" t="inlineStr">
        <is>
          <t>https://dcn8qexvg13r.feishu.cn/share/base/query/shrcnMqxwwRkV3NUIUxPeab3sec</t>
        </is>
      </c>
      <c r="F779" t="inlineStr">
        <is>
          <t>请添加微信：k846211</t>
        </is>
      </c>
      <c r="G779" t="inlineStr">
        <is>
          <t>2025-12-08</t>
        </is>
      </c>
    </row>
    <row r="780" ht="25.5" customHeight="1">
      <c r="A780" t="inlineStr">
        <is>
          <t>【历史】看动画学初中历史</t>
        </is>
      </c>
      <c r="B780" s="2" t="str">
        <f>=HYPERLINK("https://pan.quark.cn/s/83efc165f3e4", "https://pan.quark.cn/s/83efc165f3e4")</f>
        <v>https://pan.quark.cn/s/83efc165f3e4</v>
      </c>
      <c r="C780" t="inlineStr">
        <is>
          <t>10.5G</t>
        </is>
      </c>
      <c r="D780" t="inlineStr">
        <is>
          <t>/历史/初中/动画/学习/K12/学龄儿童家长</t>
        </is>
      </c>
      <c r="E780" t="inlineStr">
        <is>
          <t>https://dcn8qexvg13r.feishu.cn/share/base/query/shrcnMqxwwRkV3NUIUxPeab3sec</t>
        </is>
      </c>
      <c r="F780" t="inlineStr">
        <is>
          <t>请添加微信：k846211</t>
        </is>
      </c>
      <c r="G780" t="inlineStr">
        <is>
          <t>2025-12-08</t>
        </is>
      </c>
    </row>
    <row r="781" ht="25.5" customHeight="1">
      <c r="A781" t="inlineStr">
        <is>
          <t>【历史】胖辉老师文综中考历史绝招课</t>
        </is>
      </c>
      <c r="B781" s="2" t="str">
        <f>=HYPERLINK("https://pan.quark.cn/s/2e4c34226c1c", "https://pan.quark.cn/s/2e4c34226c1c")</f>
        <v>https://pan.quark.cn/s/2e4c34226c1c</v>
      </c>
      <c r="C781" t="inlineStr">
        <is>
          <t>3.7G</t>
        </is>
      </c>
      <c r="D781" t="inlineStr">
        <is>
          <t>/历史/中考/文综/K12/学龄儿童家长</t>
        </is>
      </c>
      <c r="E781" t="inlineStr">
        <is>
          <t>https://dcn8qexvg13r.feishu.cn/share/base/query/shrcnMqxwwRkV3NUIUxPeab3sec</t>
        </is>
      </c>
      <c r="F781" t="inlineStr">
        <is>
          <t>请添加微信：k846211</t>
        </is>
      </c>
      <c r="G781" t="inlineStr">
        <is>
          <t>2025-12-08</t>
        </is>
      </c>
    </row>
    <row r="782" ht="25.5" customHeight="1">
      <c r="A782" t="inlineStr">
        <is>
          <t>【历史】中国古代，近代，现代史，世界史</t>
        </is>
      </c>
      <c r="B782" s="2" t="str">
        <f>=HYPERLINK("https://pan.quark.cn/s/4c9f90d34a87", "https://pan.quark.cn/s/4c9f90d34a87")</f>
        <v>https://pan.quark.cn/s/4c9f90d34a87</v>
      </c>
      <c r="C782" t="inlineStr">
        <is>
          <t>9.7G</t>
        </is>
      </c>
      <c r="D782" t="inlineStr">
        <is>
          <t>/历史/中国史/世界史/大学生/K12/考研/考公/考证党</t>
        </is>
      </c>
      <c r="E782" t="inlineStr">
        <is>
          <t>https://dcn8qexvg13r.feishu.cn/share/base/query/shrcnMqxwwRkV3NUIUxPeab3sec</t>
        </is>
      </c>
      <c r="F782" t="inlineStr">
        <is>
          <t>请添加微信：k846211</t>
        </is>
      </c>
      <c r="G782" t="inlineStr">
        <is>
          <t>2025-12-08</t>
        </is>
      </c>
    </row>
    <row r="783" ht="25.5" customHeight="1">
      <c r="A783" t="inlineStr">
        <is>
          <t>【完结】平说历史,盛世大唐</t>
        </is>
      </c>
      <c r="B783" s="2" t="str">
        <f>=HYPERLINK("https://pan.quark.cn/s/0084ccbb36ce", "https://pan.quark.cn/s/0084ccbb36ce")</f>
        <v>https://pan.quark.cn/s/0084ccbb36ce</v>
      </c>
      <c r="C783" t="inlineStr">
        <is>
          <t>1.2G</t>
        </is>
      </c>
      <c r="D783" t="inlineStr">
        <is>
          <t>/历史/大唐/平说/完结/大学生/白领</t>
        </is>
      </c>
      <c r="E783" t="inlineStr">
        <is>
          <t>https://dcn8qexvg13r.feishu.cn/share/base/query/shrcnMqxwwRkV3NUIUxPeab3sec</t>
        </is>
      </c>
      <c r="F783" t="inlineStr">
        <is>
          <t>请添加微信：k846211</t>
        </is>
      </c>
      <c r="G783" t="inlineStr">
        <is>
          <t>2025-12-08</t>
        </is>
      </c>
    </row>
    <row r="784" ht="25.5" customHeight="1">
      <c r="A784" t="inlineStr">
        <is>
          <t>25秋小学初中热门精品学习资料合集（186G）</t>
        </is>
      </c>
      <c r="B784" s="2" t="str">
        <f>=HYPERLINK("https://pan.quark.cn/s/d029378a5081", "https://pan.quark.cn/s/d029378a5081")</f>
        <v>https://pan.quark.cn/s/d029378a5081</v>
      </c>
      <c r="C784" t="inlineStr">
        <is>
          <t>186.7G</t>
        </is>
      </c>
      <c r="D784" t="inlineStr">
        <is>
          <t>/小学/初中/热门精品/学习资料/K12/学龄儿童家长</t>
        </is>
      </c>
      <c r="E784" t="inlineStr">
        <is>
          <t>https://dcn8qexvg13r.feishu.cn/share/base/query/shrcnMqxwwRkV3NUIUxPeab3sec</t>
        </is>
      </c>
      <c r="F784" t="inlineStr">
        <is>
          <t>请添加微信：k846211</t>
        </is>
      </c>
      <c r="G784" t="inlineStr">
        <is>
          <t>2025-12-08</t>
        </is>
      </c>
    </row>
    <row r="785" ht="25.5" customHeight="1">
      <c r="A785" t="inlineStr">
        <is>
          <t>25秋小学最近更新精品教辅资料合集（366G）</t>
        </is>
      </c>
      <c r="B785" s="2" t="str">
        <f>=HYPERLINK("https://pan.quark.cn/s/b443f81e0df2", "https://pan.quark.cn/s/b443f81e0df2")</f>
        <v>https://pan.quark.cn/s/b443f81e0df2</v>
      </c>
      <c r="C785" t="inlineStr">
        <is>
          <t>366.6G</t>
        </is>
      </c>
      <c r="D785" t="inlineStr">
        <is>
          <t>/小学教辅/2025秋季/精品/更新/K12/学龄儿童家长</t>
        </is>
      </c>
      <c r="E785" t="inlineStr">
        <is>
          <t>https://dcn8qexvg13r.feishu.cn/share/base/query/shrcnMqxwwRkV3NUIUxPeab3sec</t>
        </is>
      </c>
      <c r="F785" t="inlineStr">
        <is>
          <t>请添加微信：k846211</t>
        </is>
      </c>
      <c r="G785" t="inlineStr">
        <is>
          <t>2025-12-08</t>
        </is>
      </c>
    </row>
    <row r="786" ht="25.5" customHeight="1">
      <c r="A786" t="inlineStr">
        <is>
          <t>2025秋季版小学最新全科学习资料大全（248G）</t>
        </is>
      </c>
      <c r="B786" s="2" t="str">
        <f>=HYPERLINK("https://pan.quark.cn/s/ef906f1ada5e", "https://pan.quark.cn/s/ef906f1ada5e")</f>
        <v>https://pan.quark.cn/s/ef906f1ada5e</v>
      </c>
      <c r="C786" t="inlineStr">
        <is>
          <t>248.1G</t>
        </is>
      </c>
      <c r="D786" t="inlineStr">
        <is>
          <t>/小学全科/2025秋季版/学习资料/K12/学龄儿童家长</t>
        </is>
      </c>
      <c r="E786" t="inlineStr">
        <is>
          <t>https://dcn8qexvg13r.feishu.cn/share/base/query/shrcnMqxwwRkV3NUIUxPeab3sec</t>
        </is>
      </c>
      <c r="F786" t="inlineStr">
        <is>
          <t>请添加微信：k846211</t>
        </is>
      </c>
      <c r="G786" t="inlineStr">
        <is>
          <t>2025-12-08</t>
        </is>
      </c>
    </row>
    <row r="787" ht="25.5" customHeight="1">
      <c r="A787" t="inlineStr">
        <is>
          <t>初中物化生专项系列名师课程大合集（361G）</t>
        </is>
      </c>
      <c r="B787" s="2" t="str">
        <f>=HYPERLINK("https://pan.quark.cn/s/0548d27bc739", "https://pan.quark.cn/s/0548d27bc739")</f>
        <v>https://pan.quark.cn/s/0548d27bc739</v>
      </c>
      <c r="C787" t="inlineStr">
        <is>
          <t>361.6G</t>
        </is>
      </c>
      <c r="D787" t="inlineStr">
        <is>
          <t>/初中物化生/专项课程/名师课程/K12/宝妈/家长群体</t>
        </is>
      </c>
      <c r="E787" t="inlineStr">
        <is>
          <t>https://dcn8qexvg13r.feishu.cn/share/base/query/shrcnMqxwwRkV3NUIUxPeab3sec</t>
        </is>
      </c>
      <c r="F787" t="inlineStr">
        <is>
          <t>请添加微信：k846211</t>
        </is>
      </c>
      <c r="G787" t="inlineStr">
        <is>
          <t>2025-12-08</t>
        </is>
      </c>
    </row>
    <row r="788" ht="25.5" customHeight="1">
      <c r="A788" t="inlineStr">
        <is>
          <t>初中学习资料大礼包（全科）（88G）</t>
        </is>
      </c>
      <c r="B788" s="2" t="str">
        <f>=HYPERLINK("https://pan.quark.cn/s/0ced1901e2f9", "https://pan.quark.cn/s/0ced1901e2f9")</f>
        <v>https://pan.quark.cn/s/0ced1901e2f9</v>
      </c>
      <c r="C788" t="inlineStr">
        <is>
          <t>87.2G</t>
        </is>
      </c>
      <c r="D788" t="inlineStr">
        <is>
          <t>/初中/全科/学习资料/K12/学龄儿童家长</t>
        </is>
      </c>
      <c r="E788" t="inlineStr">
        <is>
          <t>https://dcn8qexvg13r.feishu.cn/share/base/query/shrcnMqxwwRkV3NUIUxPeab3sec</t>
        </is>
      </c>
      <c r="F788" t="inlineStr">
        <is>
          <t>请添加微信：k846211</t>
        </is>
      </c>
      <c r="G788" t="inlineStr">
        <is>
          <t>2025-12-08</t>
        </is>
      </c>
    </row>
    <row r="789" ht="25.5" customHeight="1">
      <c r="A789" t="inlineStr">
        <is>
          <t>热门教育资源合集（小学）1（403G）</t>
        </is>
      </c>
      <c r="B789" s="2" t="str">
        <f>=HYPERLINK("https://pan.quark.cn/s/04a4eed9a241", "https://pan.quark.cn/s/04a4eed9a241")</f>
        <v>https://pan.quark.cn/s/04a4eed9a241</v>
      </c>
      <c r="C789" t="inlineStr">
        <is>
          <t>403.7G</t>
        </is>
      </c>
      <c r="D789" t="inlineStr">
        <is>
          <t>/小学教育/热门资源/403G/学龄儿童家长/K12</t>
        </is>
      </c>
      <c r="E789" t="inlineStr">
        <is>
          <t>https://dcn8qexvg13r.feishu.cn/share/base/query/shrcnMqxwwRkV3NUIUxPeab3sec</t>
        </is>
      </c>
      <c r="F789" t="inlineStr">
        <is>
          <t>请添加微信：k846211</t>
        </is>
      </c>
      <c r="G789" t="inlineStr">
        <is>
          <t>2025-12-08</t>
        </is>
      </c>
    </row>
    <row r="790" ht="25.5" customHeight="1">
      <c r="A790" t="inlineStr">
        <is>
          <t>热门教育资源合集（小学）2(1.8T)</t>
        </is>
      </c>
      <c r="B790" s="2" t="str">
        <f>=HYPERLINK("https://pan.quark.cn/s/33223ca64867", "https://pan.quark.cn/s/33223ca64867")</f>
        <v>https://pan.quark.cn/s/33223ca64867</v>
      </c>
      <c r="C790" t="inlineStr">
        <is>
          <t>1.8</t>
        </is>
      </c>
      <c r="D790" t="inlineStr">
        <is>
          <t>/小学教育/热门资源/1.8T/K12/宝妈/家长群体/学龄儿童家长</t>
        </is>
      </c>
      <c r="E790" t="inlineStr">
        <is>
          <t>https://dcn8qexvg13r.feishu.cn/share/base/query/shrcnMqxwwRkV3NUIUxPeab3sec</t>
        </is>
      </c>
      <c r="F790" t="inlineStr">
        <is>
          <t>请添加微信：k846211</t>
        </is>
      </c>
      <c r="G790" t="inlineStr">
        <is>
          <t>2025-12-08</t>
        </is>
      </c>
    </row>
    <row r="791" ht="25.5" customHeight="1">
      <c r="A791" t="inlineStr">
        <is>
          <t>热门教育资源合集（小学）3（716G）</t>
        </is>
      </c>
      <c r="B791" s="2" t="str">
        <f>=HYPERLINK("https://pan.quark.cn/s/346e9976ccc6", "https://pan.quark.cn/s/346e9976ccc6")</f>
        <v>https://pan.quark.cn/s/346e9976ccc6</v>
      </c>
      <c r="C791" t="inlineStr">
        <is>
          <t>716.7G</t>
        </is>
      </c>
      <c r="D791" t="inlineStr">
        <is>
          <t>/小学教育/教育资源/学习材料/学龄儿童家长/K12</t>
        </is>
      </c>
      <c r="E791" t="inlineStr">
        <is>
          <t>https://dcn8qexvg13r.feishu.cn/share/base/query/shrcnMqxwwRkV3NUIUxPeab3sec</t>
        </is>
      </c>
      <c r="F791" t="inlineStr">
        <is>
          <t>请添加微信：k846211</t>
        </is>
      </c>
      <c r="G791" t="inlineStr">
        <is>
          <t>2025-12-08</t>
        </is>
      </c>
    </row>
    <row r="792" ht="25.5" customHeight="1">
      <c r="A792" t="inlineStr">
        <is>
          <t>13、郝广才：创意思维课（完结）</t>
        </is>
      </c>
      <c r="B792" s="2" t="str">
        <f>=HYPERLINK("https://pan.quark.cn/s/c3808cd8a3d3", "https://pan.quark.cn/s/c3808cd8a3d3")</f>
        <v>https://pan.quark.cn/s/c3808cd8a3d3</v>
      </c>
      <c r="C792" t="inlineStr">
        <is>
          <t>237.5M</t>
        </is>
      </c>
      <c r="D792" t="inlineStr">
        <is>
          <t>/创意思维/课程/思维训练/郝广才/白领/管理者</t>
        </is>
      </c>
      <c r="E792" t="inlineStr">
        <is>
          <t>https://dcn8qexvg13r.feishu.cn/share/base/query/shrcnMqxwwRkV3NUIUxPeab3sec</t>
        </is>
      </c>
      <c r="F792" t="inlineStr">
        <is>
          <t>请添加微信：k846211</t>
        </is>
      </c>
      <c r="G792" t="inlineStr">
        <is>
          <t>2025-12-08</t>
        </is>
      </c>
    </row>
    <row r="793" ht="25.5" customHeight="1">
      <c r="A793" t="inlineStr">
        <is>
          <t>14、郑毓煌的营销学课（完结）</t>
        </is>
      </c>
      <c r="B793" s="2" t="str">
        <f>=HYPERLINK("https://pan.quark.cn/s/07b28cd6d1f8", "https://pan.quark.cn/s/07b28cd6d1f8")</f>
        <v>https://pan.quark.cn/s/07b28cd6d1f8</v>
      </c>
      <c r="C793" t="inlineStr">
        <is>
          <t>339.3M</t>
        </is>
      </c>
      <c r="D793" t="inlineStr">
        <is>
          <t>/营销学/课程/郑毓煌/知识学习/白领/管理者</t>
        </is>
      </c>
      <c r="E793" t="inlineStr">
        <is>
          <t>https://dcn8qexvg13r.feishu.cn/share/base/query/shrcnMqxwwRkV3NUIUxPeab3sec</t>
        </is>
      </c>
      <c r="F793" t="inlineStr">
        <is>
          <t>请添加微信：k846211</t>
        </is>
      </c>
      <c r="G793" t="inlineStr">
        <is>
          <t>2025-12-08</t>
        </is>
      </c>
    </row>
    <row r="794" ht="25.5" customHeight="1">
      <c r="A794" t="inlineStr">
        <is>
          <t>16、梁宁：增长思维30讲（完结）</t>
        </is>
      </c>
      <c r="B794" s="2" t="str">
        <f>=HYPERLINK("https://pan.quark.cn/s/501a7d026433", "https://pan.quark.cn/s/501a7d026433")</f>
        <v>https://pan.quark.cn/s/501a7d026433</v>
      </c>
      <c r="C794" t="inlineStr">
        <is>
          <t>343.9M</t>
        </is>
      </c>
      <c r="D794" t="inlineStr">
        <is>
          <t>/增长思维/商业课程/梁宁/管理智慧/白领/管理者</t>
        </is>
      </c>
      <c r="E794" t="inlineStr">
        <is>
          <t>https://dcn8qexvg13r.feishu.cn/share/base/query/shrcnMqxwwRkV3NUIUxPeab3sec</t>
        </is>
      </c>
      <c r="F794" t="inlineStr">
        <is>
          <t>请添加微信：k846211</t>
        </is>
      </c>
      <c r="G794" t="inlineStr">
        <is>
          <t>2025-12-08</t>
        </is>
      </c>
    </row>
    <row r="795" ht="25.5" customHeight="1">
      <c r="A795" t="inlineStr">
        <is>
          <t>17、汪志谦·MOT 体验设计课（完结）</t>
        </is>
      </c>
      <c r="B795" s="2" t="str">
        <f>=HYPERLINK("https://pan.quark.cn/s/f921c09fe5f9", "https://pan.quark.cn/s/f921c09fe5f9")</f>
        <v>https://pan.quark.cn/s/f921c09fe5f9</v>
      </c>
      <c r="C795" t="inlineStr">
        <is>
          <t>93.9M</t>
        </is>
      </c>
      <c r="D795" t="inlineStr">
        <is>
          <t>/MOT/体验设计/设计课程/汪志谦/特定行业从业者/技能入门</t>
        </is>
      </c>
      <c r="E795" t="inlineStr">
        <is>
          <t>https://dcn8qexvg13r.feishu.cn/share/base/query/shrcnMqxwwRkV3NUIUxPeab3sec</t>
        </is>
      </c>
      <c r="F795" t="inlineStr">
        <is>
          <t>请添加微信：k846211</t>
        </is>
      </c>
      <c r="G795" t="inlineStr">
        <is>
          <t>2025-12-08</t>
        </is>
      </c>
    </row>
    <row r="796" ht="25.5" customHeight="1">
      <c r="A796" t="inlineStr">
        <is>
          <t>19、黄碧云的小店创业课（完结）</t>
        </is>
      </c>
      <c r="B796" s="2" t="str">
        <f>=HYPERLINK("https://pan.quark.cn/s/94a2727a545f", "https://pan.quark.cn/s/94a2727a545f")</f>
        <v>https://pan.quark.cn/s/94a2727a545f</v>
      </c>
      <c r="C796" t="inlineStr">
        <is>
          <t>122.9M</t>
        </is>
      </c>
      <c r="D796" t="inlineStr">
        <is>
          <t>/小店创业/创业课/黄碧云/技能入门/特定行业从业者/宝妈/家长群体</t>
        </is>
      </c>
      <c r="E796" t="inlineStr">
        <is>
          <t>https://dcn8qexvg13r.feishu.cn/share/base/query/shrcnMqxwwRkV3NUIUxPeab3sec</t>
        </is>
      </c>
      <c r="F796" t="inlineStr">
        <is>
          <t>请添加微信：k846211</t>
        </is>
      </c>
      <c r="G796" t="inlineStr">
        <is>
          <t>2025-12-08</t>
        </is>
      </c>
    </row>
    <row r="797" ht="25.5" customHeight="1">
      <c r="A797" t="inlineStr">
        <is>
          <t>21、跟张弛学市场调研</t>
        </is>
      </c>
      <c r="B797" s="2" t="str">
        <f>=HYPERLINK("https://pan.quark.cn/s/9bb43c915873", "https://pan.quark.cn/s/9bb43c915873")</f>
        <v>https://pan.quark.cn/s/9bb43c915873</v>
      </c>
      <c r="C797" t="inlineStr">
        <is>
          <t>72.6M</t>
        </is>
      </c>
      <c r="D797" t="inlineStr">
        <is>
          <t>/市场调研/张弛/技能入门/白领/管理者/特定行业从业者</t>
        </is>
      </c>
      <c r="E797" t="inlineStr">
        <is>
          <t>https://dcn8qexvg13r.feishu.cn/share/base/query/shrcnMqxwwRkV3NUIUxPeab3sec</t>
        </is>
      </c>
      <c r="F797" t="inlineStr">
        <is>
          <t>请添加微信：k846211</t>
        </is>
      </c>
      <c r="G797" t="inlineStr">
        <is>
          <t>2025-12-08</t>
        </is>
      </c>
    </row>
    <row r="798" ht="25.5" customHeight="1">
      <c r="A798" t="inlineStr">
        <is>
          <t>22、陈勇·怎样提高流量转化率(完结)</t>
        </is>
      </c>
      <c r="B798" s="2" t="str">
        <f>=HYPERLINK("https://pan.quark.cn/s/dd0ee1e66bba", "https://pan.quark.cn/s/dd0ee1e66bba")</f>
        <v>https://pan.quark.cn/s/dd0ee1e66bba</v>
      </c>
      <c r="C798" t="inlineStr">
        <is>
          <t>801.6M</t>
        </is>
      </c>
      <c r="D798" t="inlineStr">
        <is>
          <t>/流量转化率/运营技巧/完结课程/白领/管理者</t>
        </is>
      </c>
      <c r="E798" t="inlineStr">
        <is>
          <t>https://dcn8qexvg13r.feishu.cn/share/base/query/shrcnMqxwwRkV3NUIUxPeab3sec</t>
        </is>
      </c>
      <c r="F798" t="inlineStr">
        <is>
          <t>请添加微信：k846211</t>
        </is>
      </c>
      <c r="G798" t="inlineStr">
        <is>
          <t>2025-12-08</t>
        </is>
      </c>
    </row>
    <row r="799" ht="25.5" customHeight="1">
      <c r="A799" t="inlineStr">
        <is>
          <t>23、哈佛商学院案例学习（完结）</t>
        </is>
      </c>
      <c r="B799" s="2" t="str">
        <f>=HYPERLINK("https://pan.quark.cn/s/0b42a0353c49", "https://pan.quark.cn/s/0b42a0353c49")</f>
        <v>https://pan.quark.cn/s/0b42a0353c49</v>
      </c>
      <c r="C799" t="inlineStr">
        <is>
          <t>2.7G</t>
        </is>
      </c>
      <c r="D799" t="inlineStr">
        <is>
          <t>/哈佛商学院/案例学习/商业管理/管理案例/管理者/白领</t>
        </is>
      </c>
      <c r="E799" t="inlineStr">
        <is>
          <t>https://dcn8qexvg13r.feishu.cn/share/base/query/shrcnMqxwwRkV3NUIUxPeab3sec</t>
        </is>
      </c>
      <c r="F799" t="inlineStr">
        <is>
          <t>请添加微信：k846211</t>
        </is>
      </c>
      <c r="G799" t="inlineStr">
        <is>
          <t>2025-12-08</t>
        </is>
      </c>
    </row>
    <row r="800" ht="25.5" customHeight="1">
      <c r="A800" t="inlineStr">
        <is>
          <t>25、大师课-梁宁：产品思维30讲（完结）</t>
        </is>
      </c>
      <c r="B800" s="2" t="str">
        <f>=HYPERLINK("https://pan.quark.cn/s/d631c7ccf02d", "https://pan.quark.cn/s/d631c7ccf02d")</f>
        <v>https://pan.quark.cn/s/d631c7ccf02d</v>
      </c>
      <c r="C800" t="inlineStr">
        <is>
          <t>571.4M</t>
        </is>
      </c>
      <c r="D800" t="inlineStr">
        <is>
          <t>/产品思维/大师课/梁宁/完结/白领/管理者</t>
        </is>
      </c>
      <c r="E800" t="inlineStr">
        <is>
          <t>https://dcn8qexvg13r.feishu.cn/share/base/query/shrcnMqxwwRkV3NUIUxPeab3sec</t>
        </is>
      </c>
      <c r="F800" t="inlineStr">
        <is>
          <t>请添加微信：k846211</t>
        </is>
      </c>
      <c r="G800" t="inlineStr">
        <is>
          <t>2025-12-08</t>
        </is>
      </c>
    </row>
    <row r="801" ht="25.5" customHeight="1">
      <c r="A801" t="inlineStr">
        <is>
          <t>2025刘润年度演讲PPT</t>
        </is>
      </c>
      <c r="B801" s="2" t="str">
        <f>=HYPERLINK("https://pan.quark.cn/s/dc14b8cac75b", "https://pan.quark.cn/s/dc14b8cac75b")</f>
        <v>https://pan.quark.cn/s/dc14b8cac75b</v>
      </c>
      <c r="C801" t="inlineStr">
        <is>
          <t>1.4G</t>
        </is>
      </c>
      <c r="D801" t="inlineStr">
        <is>
          <t>/刘润/年度演讲/商业洞察/PPT/管理者/白领</t>
        </is>
      </c>
      <c r="E801" t="inlineStr">
        <is>
          <t>https://dcn8qexvg13r.feishu.cn/share/base/query/shrcnMqxwwRkV3NUIUxPeab3sec</t>
        </is>
      </c>
      <c r="F801" t="inlineStr">
        <is>
          <t>请添加微信：k846211</t>
        </is>
      </c>
      <c r="G801" t="inlineStr">
        <is>
          <t>2025-12-08</t>
        </is>
      </c>
    </row>
    <row r="802" ht="25.5" customHeight="1">
      <c r="A802" t="inlineStr">
        <is>
          <t>阿嘟白泽最新儿童科学启蒙课</t>
        </is>
      </c>
      <c r="B802" s="2" t="str">
        <f>=HYPERLINK("https://pan.quark.cn/s/f8e51214ce44", "https://pan.quark.cn/s/f8e51214ce44")</f>
        <v>https://pan.quark.cn/s/f8e51214ce44</v>
      </c>
      <c r="C802" t="inlineStr">
        <is>
          <t>19.6G</t>
        </is>
      </c>
      <c r="D802" t="inlineStr">
        <is>
          <t>/儿童科学/启蒙课/科学启蒙/阿嘟白泽/宝妈/家长群体/育儿</t>
        </is>
      </c>
      <c r="E802" t="inlineStr">
        <is>
          <t>https://dcn8qexvg13r.feishu.cn/share/base/query/shrcnMqxwwRkV3NUIUxPeab3sec</t>
        </is>
      </c>
      <c r="F802" t="inlineStr">
        <is>
          <t>请添加微信：k846211</t>
        </is>
      </c>
      <c r="G802" t="inlineStr">
        <is>
          <t>2025-12-08</t>
        </is>
      </c>
    </row>
    <row r="803" ht="25.5" customHeight="1">
      <c r="A803" t="inlineStr">
        <is>
          <t>渤海小吏《B站充电专属视频合集》</t>
        </is>
      </c>
      <c r="B803" s="2" t="str">
        <f>=HYPERLINK("https://pan.quark.cn/s/bc3898d7a75f", "https://pan.quark.cn/s/bc3898d7a75f")</f>
        <v>https://pan.quark.cn/s/bc3898d7a75f</v>
      </c>
      <c r="C803" t="inlineStr">
        <is>
          <t>3.7G</t>
        </is>
      </c>
      <c r="D803" t="inlineStr">
        <is>
          <t>/历史/B站/充电专属/视频/其他</t>
        </is>
      </c>
      <c r="E803" t="inlineStr">
        <is>
          <t>https://dcn8qexvg13r.feishu.cn/share/base/query/shrcnMqxwwRkV3NUIUxPeab3sec</t>
        </is>
      </c>
      <c r="F803" t="inlineStr">
        <is>
          <t>请添加微信：k846211</t>
        </is>
      </c>
      <c r="G803" t="inlineStr">
        <is>
          <t>2025-12-08</t>
        </is>
      </c>
    </row>
    <row r="804" ht="25.5" customHeight="1">
      <c r="A804" t="inlineStr">
        <is>
          <t>博雅“四大名著”思辨读写课【完结】</t>
        </is>
      </c>
      <c r="B804" s="2" t="str">
        <f>=HYPERLINK("https://pan.quark.cn/s/ef6b42c7fa6e", "https://pan.quark.cn/s/ef6b42c7fa6e")</f>
        <v>https://pan.quark.cn/s/ef6b42c7fa6e</v>
      </c>
      <c r="C804" t="inlineStr">
        <is>
          <t>3.7G</t>
        </is>
      </c>
      <c r="D804" t="inlineStr">
        <is>
          <t>/四大名著/思辨读写/课程/博雅教育/K12/学龄儿童家长</t>
        </is>
      </c>
      <c r="E804" t="inlineStr">
        <is>
          <t>https://dcn8qexvg13r.feishu.cn/share/base/query/shrcnMqxwwRkV3NUIUxPeab3sec</t>
        </is>
      </c>
      <c r="F804" t="inlineStr">
        <is>
          <t>请添加微信：k846211</t>
        </is>
      </c>
      <c r="G804" t="inlineStr">
        <is>
          <t>2025-12-08</t>
        </is>
      </c>
    </row>
    <row r="805" ht="25.5" customHeight="1">
      <c r="A805" t="inlineStr">
        <is>
          <t>得到精品付费资源合集【视频+音频+电子书】267.2G</t>
        </is>
      </c>
      <c r="B805" s="2" t="str">
        <f>=HYPERLINK("https://pan.quark.cn/s/a71c81152962", "https://pan.quark.cn/s/a71c81152962")</f>
        <v>https://pan.quark.cn/s/a71c81152962</v>
      </c>
      <c r="C805" t="inlineStr">
        <is>
          <t>266.4G</t>
        </is>
      </c>
      <c r="D805" t="inlineStr">
        <is>
          <t>/得到/精品付费/视频/音频/电子书/白领/管理者</t>
        </is>
      </c>
      <c r="E805" t="inlineStr">
        <is>
          <t>https://dcn8qexvg13r.feishu.cn/share/base/query/shrcnMqxwwRkV3NUIUxPeab3sec</t>
        </is>
      </c>
      <c r="F805" t="inlineStr">
        <is>
          <t>请添加微信：k846211</t>
        </is>
      </c>
      <c r="G805" t="inlineStr">
        <is>
          <t>2025-12-08</t>
        </is>
      </c>
    </row>
    <row r="806" ht="25.5" customHeight="1">
      <c r="A806" t="inlineStr">
        <is>
          <t>哆哆罗故事《少儿科学侦探故事：神探迈克狐》</t>
        </is>
      </c>
      <c r="B806" s="2" t="str">
        <f>=HYPERLINK("https://pan.quark.cn/s/62cbbccf4ae7", "https://pan.quark.cn/s/62cbbccf4ae7")</f>
        <v>https://pan.quark.cn/s/62cbbccf4ae7</v>
      </c>
      <c r="C806" t="inlineStr">
        <is>
          <t>5G</t>
        </is>
      </c>
      <c r="D806" t="inlineStr">
        <is>
          <t>/科学侦探/少儿故事/神探迈克狐/学龄儿童家长/K12</t>
        </is>
      </c>
      <c r="E806" t="inlineStr">
        <is>
          <t>https://dcn8qexvg13r.feishu.cn/share/base/query/shrcnMqxwwRkV3NUIUxPeab3sec</t>
        </is>
      </c>
      <c r="F806" t="inlineStr">
        <is>
          <t>请添加微信：k846211</t>
        </is>
      </c>
      <c r="G806" t="inlineStr">
        <is>
          <t>2025-12-08</t>
        </is>
      </c>
    </row>
    <row r="807" ht="25.5" customHeight="1">
      <c r="A807" t="inlineStr">
        <is>
          <t>读懂自己与他人的必备指南</t>
        </is>
      </c>
      <c r="B807" s="2" t="str">
        <f>=HYPERLINK("https://pan.quark.cn/s/c1b9ba4b3a27", "https://pan.quark.cn/s/c1b9ba4b3a27")</f>
        <v>https://pan.quark.cn/s/c1b9ba4b3a27</v>
      </c>
      <c r="C807" t="inlineStr">
        <is>
          <t>260.5M</t>
        </is>
      </c>
      <c r="D807" t="inlineStr">
        <is>
          <t>/自我认知/人际理解/指南/白领/管理者</t>
        </is>
      </c>
      <c r="E807" t="inlineStr">
        <is>
          <t>https://dcn8qexvg13r.feishu.cn/share/base/query/shrcnMqxwwRkV3NUIUxPeab3sec</t>
        </is>
      </c>
      <c r="F807" t="inlineStr">
        <is>
          <t>请添加微信：k846211</t>
        </is>
      </c>
      <c r="G807" t="inlineStr">
        <is>
          <t>2025-12-08</t>
        </is>
      </c>
    </row>
    <row r="808" ht="25.5" customHeight="1">
      <c r="A808" t="inlineStr">
        <is>
          <t>儿童历史启蒙有声读物《世界上下5000年》</t>
        </is>
      </c>
      <c r="B808" s="2" t="str">
        <f>=HYPERLINK("https://pan.quark.cn/s/3b4aa5dcb306", "https://pan.quark.cn/s/3b4aa5dcb306")</f>
        <v>https://pan.quark.cn/s/3b4aa5dcb306</v>
      </c>
      <c r="C808" t="inlineStr">
        <is>
          <t>1.1G</t>
        </is>
      </c>
      <c r="D808" t="inlineStr">
        <is>
          <t>/世界历史/有声读物/儿童启蒙/5000年/K12/宝妈/家长群体</t>
        </is>
      </c>
      <c r="E808" t="inlineStr">
        <is>
          <t>https://dcn8qexvg13r.feishu.cn/share/base/query/shrcnMqxwwRkV3NUIUxPeab3sec</t>
        </is>
      </c>
      <c r="F808" t="inlineStr">
        <is>
          <t>请添加微信：k846211</t>
        </is>
      </c>
      <c r="G808" t="inlineStr">
        <is>
          <t>2025-12-08</t>
        </is>
      </c>
    </row>
    <row r="809" ht="25.5" customHeight="1">
      <c r="A809" t="inlineStr">
        <is>
          <t>胡渐彪-《少年思辨通识课》用故事拓展认知_用思辨获得启发_超级辩手表达学堂</t>
        </is>
      </c>
      <c r="B809" s="2" t="str">
        <f>=HYPERLINK("https://pan.quark.cn/s/afd39eb30ffd", "https://pan.quark.cn/s/afd39eb30ffd")</f>
        <v>https://pan.quark.cn/s/afd39eb30ffd</v>
      </c>
      <c r="C809" t="inlineStr">
        <is>
          <t>1.3G</t>
        </is>
      </c>
      <c r="D809" t="inlineStr">
        <is>
          <t>/少年思辨/通识课/故事拓展认知/思辨启发/超级辩手/K12/学龄儿童家长</t>
        </is>
      </c>
      <c r="E809" t="inlineStr">
        <is>
          <t>https://dcn8qexvg13r.feishu.cn/share/base/query/shrcnMqxwwRkV3NUIUxPeab3sec</t>
        </is>
      </c>
      <c r="F809" t="inlineStr">
        <is>
          <t>请添加微信：k846211</t>
        </is>
      </c>
      <c r="G809" t="inlineStr">
        <is>
          <t>2025-12-08</t>
        </is>
      </c>
    </row>
    <row r="810" ht="25.5" customHeight="1">
      <c r="A810" t="inlineStr">
        <is>
          <t>精 孙英刚精讲唐史 音频+PDF</t>
        </is>
      </c>
      <c r="B810" s="2" t="str">
        <f>=HYPERLINK("https://pan.quark.cn/s/042c4dc4cacf", "https://pan.quark.cn/s/042c4dc4cacf")</f>
        <v>https://pan.quark.cn/s/042c4dc4cacf</v>
      </c>
      <c r="C810" t="inlineStr">
        <is>
          <t>1.8G</t>
        </is>
      </c>
      <c r="D810" t="inlineStr">
        <is>
          <t>/唐史/孙英刚/音频/PDF/历史学习/大学生/考研/考公/考证党</t>
        </is>
      </c>
      <c r="E810" t="inlineStr">
        <is>
          <t>https://dcn8qexvg13r.feishu.cn/share/base/query/shrcnMqxwwRkV3NUIUxPeab3sec</t>
        </is>
      </c>
      <c r="F810" t="inlineStr">
        <is>
          <t>请添加微信：k846211</t>
        </is>
      </c>
      <c r="G810" t="inlineStr">
        <is>
          <t>2025-12-08</t>
        </is>
      </c>
    </row>
    <row r="811" ht="25.5" customHeight="1">
      <c r="A811" t="inlineStr">
        <is>
          <t>精 圆桌思辨全课程</t>
        </is>
      </c>
      <c r="B811" s="2" t="str">
        <f>=HYPERLINK("https://pan.quark.cn/s/ad0dd41d7fc6", "https://pan.quark.cn/s/ad0dd41d7fc6")</f>
        <v>https://pan.quark.cn/s/ad0dd41d7fc6</v>
      </c>
      <c r="C811" t="inlineStr">
        <is>
          <t>79.3G</t>
        </is>
      </c>
      <c r="D811" t="inlineStr">
        <is>
          <t>/圆桌思辨/课程/思维训练/大学生/管理者</t>
        </is>
      </c>
      <c r="E811" t="inlineStr">
        <is>
          <t>https://dcn8qexvg13r.feishu.cn/share/base/query/shrcnMqxwwRkV3NUIUxPeab3sec</t>
        </is>
      </c>
      <c r="F811" t="inlineStr">
        <is>
          <t>请添加微信：k846211</t>
        </is>
      </c>
      <c r="G811" t="inlineStr">
        <is>
          <t>2025-12-08</t>
        </is>
      </c>
    </row>
    <row r="812" ht="25.5" customHeight="1">
      <c r="A812" t="inlineStr">
        <is>
          <t>精 《靠谱讲书》大咖名师讲全球好书</t>
        </is>
      </c>
      <c r="B812" s="2" t="str">
        <f>=HYPERLINK("https://pan.quark.cn/s/1e4010cefadf", "https://pan.quark.cn/s/1e4010cefadf")</f>
        <v>https://pan.quark.cn/s/1e4010cefadf</v>
      </c>
      <c r="C812" t="inlineStr">
        <is>
          <t>16.3G</t>
        </is>
      </c>
      <c r="D812" t="inlineStr">
        <is>
          <t>/讲书/全球好书/大咖名师/知识获取/白领/管理者</t>
        </is>
      </c>
      <c r="E812" t="inlineStr">
        <is>
          <t>https://dcn8qexvg13r.feishu.cn/share/base/query/shrcnMqxwwRkV3NUIUxPeab3sec</t>
        </is>
      </c>
      <c r="F812" t="inlineStr">
        <is>
          <t>请添加微信：k846211</t>
        </is>
      </c>
      <c r="G812" t="inlineStr">
        <is>
          <t>2025-12-08</t>
        </is>
      </c>
    </row>
    <row r="813" ht="25.5" customHeight="1">
      <c r="A813" t="inlineStr">
        <is>
          <t>近代史音频视频合集</t>
        </is>
      </c>
      <c r="B813" s="2" t="str">
        <f>=HYPERLINK("https://pan.quark.cn/s/7914433ed6b7", "https://pan.quark.cn/s/7914433ed6b7")</f>
        <v>https://pan.quark.cn/s/7914433ed6b7</v>
      </c>
      <c r="C813" t="inlineStr">
        <is>
          <t>31.7G</t>
        </is>
      </c>
      <c r="D813" t="inlineStr">
        <is>
          <t>/近代史/音频/视频/历史学习/大学生/考研/考公/考证党</t>
        </is>
      </c>
      <c r="E813" t="inlineStr">
        <is>
          <t>https://dcn8qexvg13r.feishu.cn/share/base/query/shrcnMqxwwRkV3NUIUxPeab3sec</t>
        </is>
      </c>
      <c r="F813" t="inlineStr">
        <is>
          <t>请添加微信：k846211</t>
        </is>
      </c>
      <c r="G813" t="inlineStr">
        <is>
          <t>2025-12-08</t>
        </is>
      </c>
    </row>
    <row r="814" ht="25.5" customHeight="1">
      <c r="A814" t="inlineStr">
        <is>
          <t>嘉庆叔叔 听相声学大语文合集【小初~音频】</t>
        </is>
      </c>
      <c r="B814" s="2" t="str">
        <f>=HYPERLINK("https://pan.quark.cn/s/b4d7c66d88a2", "https://pan.quark.cn/s/b4d7c66d88a2")</f>
        <v>https://pan.quark.cn/s/b4d7c66d88a2</v>
      </c>
      <c r="C814" t="inlineStr">
        <is>
          <t>8.5G</t>
        </is>
      </c>
      <c r="D814" t="inlineStr">
        <is>
          <t>/相声/大语文/音频/小初/K12/学龄儿童家长</t>
        </is>
      </c>
      <c r="E814" t="inlineStr">
        <is>
          <t>https://dcn8qexvg13r.feishu.cn/share/base/query/shrcnMqxwwRkV3NUIUxPeab3sec</t>
        </is>
      </c>
      <c r="F814" t="inlineStr">
        <is>
          <t>请添加微信：k846211</t>
        </is>
      </c>
      <c r="G814" t="inlineStr">
        <is>
          <t>2025-12-08</t>
        </is>
      </c>
    </row>
    <row r="815" ht="25.5" customHeight="1">
      <c r="A815" t="inlineStr">
        <is>
          <t>蒋勋大师课大合集 全11套 音频</t>
        </is>
      </c>
      <c r="B815" s="2" t="str">
        <f>=HYPERLINK("https://pan.quark.cn/s/88887b5b40b7", "https://pan.quark.cn/s/88887b5b40b7")</f>
        <v>https://pan.quark.cn/s/88887b5b40b7</v>
      </c>
      <c r="C815" t="inlineStr">
        <is>
          <t>21.9G</t>
        </is>
      </c>
      <c r="D815" t="inlineStr">
        <is>
          <t>/蒋勋/大师课/音频/文化艺术/白领/管理者</t>
        </is>
      </c>
      <c r="E815" t="inlineStr">
        <is>
          <t>https://dcn8qexvg13r.feishu.cn/share/base/query/shrcnMqxwwRkV3NUIUxPeab3sec</t>
        </is>
      </c>
      <c r="F815" t="inlineStr">
        <is>
          <t>请添加微信：k846211</t>
        </is>
      </c>
      <c r="G815" t="inlineStr">
        <is>
          <t>2025-12-08</t>
        </is>
      </c>
    </row>
    <row r="816" ht="25.5" customHeight="1">
      <c r="A816" t="inlineStr">
        <is>
          <t>精【雪狮老师】思辨课</t>
        </is>
      </c>
      <c r="B816" s="2" t="str">
        <f>=HYPERLINK("https://pan.quark.cn/s/7060f6f44949", "https://pan.quark.cn/s/7060f6f44949")</f>
        <v>https://pan.quark.cn/s/7060f6f44949</v>
      </c>
      <c r="C816" t="inlineStr">
        <is>
          <t>9G</t>
        </is>
      </c>
      <c r="D816" t="inlineStr">
        <is>
          <t>/思辨/课程/思维训练/雪狮老师/K12/学龄儿童家长</t>
        </is>
      </c>
      <c r="E816" t="inlineStr">
        <is>
          <t>https://dcn8qexvg13r.feishu.cn/share/base/query/shrcnMqxwwRkV3NUIUxPeab3sec</t>
        </is>
      </c>
      <c r="F816" t="inlineStr">
        <is>
          <t>请添加微信：k846211</t>
        </is>
      </c>
      <c r="G816" t="inlineStr">
        <is>
          <t>2025-12-08</t>
        </is>
      </c>
    </row>
    <row r="817" ht="25.5" customHeight="1">
      <c r="A817" t="inlineStr">
        <is>
          <t>看理想 完结课精品付费资源大合集 285.5G</t>
        </is>
      </c>
      <c r="B817" s="2" t="str">
        <f>=HYPERLINK("https://pan.quark.cn/s/588a4cdb4e25", "https://pan.quark.cn/s/588a4cdb4e25")</f>
        <v>https://pan.quark.cn/s/588a4cdb4e25</v>
      </c>
      <c r="C817" t="inlineStr">
        <is>
          <t>272.9G</t>
        </is>
      </c>
      <c r="D817" t="inlineStr">
        <is>
          <t>/看理想/精品付费/完结课/白领/管理者</t>
        </is>
      </c>
      <c r="E817" t="inlineStr">
        <is>
          <t>https://dcn8qexvg13r.feishu.cn/share/base/query/shrcnMqxwwRkV3NUIUxPeab3sec</t>
        </is>
      </c>
      <c r="F817" t="inlineStr">
        <is>
          <t>请添加微信：k846211</t>
        </is>
      </c>
      <c r="G817" t="inlineStr">
        <is>
          <t>2025-12-08</t>
        </is>
      </c>
    </row>
    <row r="818" ht="25.5" customHeight="1">
      <c r="A818" t="inlineStr">
        <is>
          <t>科普有声读物《科学声音》作品合集</t>
        </is>
      </c>
      <c r="B818" s="2" t="str">
        <f>=HYPERLINK("https://pan.quark.cn/s/04f8e0ca085a", "https://pan.quark.cn/s/04f8e0ca085a")</f>
        <v>https://pan.quark.cn/s/04f8e0ca085a</v>
      </c>
      <c r="C818" t="inlineStr">
        <is>
          <t>20.1G</t>
        </is>
      </c>
      <c r="D818" t="inlineStr">
        <is>
          <t>/科学/有声读物/科普/知识普及/K12/宝妈/家长群体</t>
        </is>
      </c>
      <c r="E818" t="inlineStr">
        <is>
          <t>https://dcn8qexvg13r.feishu.cn/share/base/query/shrcnMqxwwRkV3NUIUxPeab3sec</t>
        </is>
      </c>
      <c r="F818" t="inlineStr">
        <is>
          <t>请添加微信：k846211</t>
        </is>
      </c>
      <c r="G818" t="inlineStr">
        <is>
          <t>2025-12-08</t>
        </is>
      </c>
    </row>
    <row r="819" ht="25.5" customHeight="1">
      <c r="A819" t="inlineStr">
        <is>
          <t>刘勃的国学课 历史与相声的完美结合</t>
        </is>
      </c>
      <c r="B819" s="2" t="str">
        <f>=HYPERLINK("https://pan.quark.cn/s/1224d2353eba", "https://pan.quark.cn/s/1224d2353eba")</f>
        <v>https://pan.quark.cn/s/1224d2353eba</v>
      </c>
      <c r="C819" t="inlineStr">
        <is>
          <t>269M</t>
        </is>
      </c>
      <c r="D819" t="inlineStr">
        <is>
          <t>/国学/历史/相声/趣味学习/大学生/白领</t>
        </is>
      </c>
      <c r="E819" t="inlineStr">
        <is>
          <t>https://dcn8qexvg13r.feishu.cn/share/base/query/shrcnMqxwwRkV3NUIUxPeab3sec</t>
        </is>
      </c>
      <c r="F819" t="inlineStr">
        <is>
          <t>请添加微信：k846211</t>
        </is>
      </c>
      <c r="G819" t="inlineStr">
        <is>
          <t>2025-12-08</t>
        </is>
      </c>
    </row>
    <row r="820" ht="25.5" customHeight="1">
      <c r="A820" t="inlineStr">
        <is>
          <t>林薇：10堂课让孩子拥有惊人专注力(完）</t>
        </is>
      </c>
      <c r="B820" s="2" t="str">
        <f>=HYPERLINK("https://pan.quark.cn/s/c3b54f385c52", "https://pan.quark.cn/s/c3b54f385c52")</f>
        <v>https://pan.quark.cn/s/c3b54f385c52</v>
      </c>
      <c r="C820" t="inlineStr">
        <is>
          <t>50M</t>
        </is>
      </c>
      <c r="D820" t="inlineStr">
        <is>
          <t>/孩子专注力/课程/10堂课/宝妈/家长群体/学龄儿童家长</t>
        </is>
      </c>
      <c r="E820" t="inlineStr">
        <is>
          <t>https://dcn8qexvg13r.feishu.cn/share/base/query/shrcnMqxwwRkV3NUIUxPeab3sec</t>
        </is>
      </c>
      <c r="F820" t="inlineStr">
        <is>
          <t>请添加微信：k846211</t>
        </is>
      </c>
      <c r="G820" t="inlineStr">
        <is>
          <t>2025-12-08</t>
        </is>
      </c>
    </row>
    <row r="821" ht="25.5" customHeight="1">
      <c r="A821" t="inlineStr">
        <is>
          <t>李源 21天史记精读班</t>
        </is>
      </c>
      <c r="B821" s="2" t="str">
        <f>=HYPERLINK("https://pan.quark.cn/s/8ef4f00f6858", "https://pan.quark.cn/s/8ef4f00f6858")</f>
        <v>https://pan.quark.cn/s/8ef4f00f6858</v>
      </c>
      <c r="C821" t="inlineStr">
        <is>
          <t>827.8M</t>
        </is>
      </c>
      <c r="D821" t="inlineStr">
        <is>
          <t>/史记/精读/历史/课程/大学生/考研/考公/考证党</t>
        </is>
      </c>
      <c r="E821" t="inlineStr">
        <is>
          <t>https://dcn8qexvg13r.feishu.cn/share/base/query/shrcnMqxwwRkV3NUIUxPeab3sec</t>
        </is>
      </c>
      <c r="F821" t="inlineStr">
        <is>
          <t>请添加微信：k846211</t>
        </is>
      </c>
      <c r="G821" t="inlineStr">
        <is>
          <t>2025-12-08</t>
        </is>
      </c>
    </row>
    <row r="822" ht="25.5" customHeight="1">
      <c r="A822" t="inlineStr">
        <is>
          <t>马江博·政经参考</t>
        </is>
      </c>
      <c r="B822" s="2" t="str">
        <f>=HYPERLINK("https://pan.quark.cn/s/6c52f4364647", "https://pan.quark.cn/s/6c52f4364647")</f>
        <v>https://pan.quark.cn/s/6c52f4364647</v>
      </c>
      <c r="C822" t="inlineStr">
        <is>
          <t>523M</t>
        </is>
      </c>
      <c r="D822" t="inlineStr">
        <is>
          <t>/政经/参考/政策解读/经济分析/考研/考公/考证党/管理者</t>
        </is>
      </c>
      <c r="E822" t="inlineStr">
        <is>
          <t>https://dcn8qexvg13r.feishu.cn/share/base/query/shrcnMqxwwRkV3NUIUxPeab3sec</t>
        </is>
      </c>
      <c r="F822" t="inlineStr">
        <is>
          <t>请添加微信：k846211</t>
        </is>
      </c>
      <c r="G822" t="inlineStr">
        <is>
          <t>2025-12-08</t>
        </is>
      </c>
    </row>
    <row r="823" ht="25.5" customHeight="1">
      <c r="A823" t="inlineStr">
        <is>
          <t>每日听本书系列（PDF+音频）</t>
        </is>
      </c>
      <c r="B823" s="2" t="str">
        <f>=HYPERLINK("https://pan.quark.cn/s/3965a5cf02b7", "https://pan.quark.cn/s/3965a5cf02b7")</f>
        <v>https://pan.quark.cn/s/3965a5cf02b7</v>
      </c>
      <c r="C823" t="inlineStr">
        <is>
          <t>80.8M</t>
        </is>
      </c>
      <c r="D823" t="inlineStr">
        <is>
          <t>/听书/书籍解读/音频/PDF/大学生/白领</t>
        </is>
      </c>
      <c r="E823" t="inlineStr">
        <is>
          <t>https://dcn8qexvg13r.feishu.cn/share/base/query/shrcnMqxwwRkV3NUIUxPeab3sec</t>
        </is>
      </c>
      <c r="F823" t="inlineStr">
        <is>
          <t>请添加微信：k846211</t>
        </is>
      </c>
      <c r="G823" t="inlineStr">
        <is>
          <t>2025-12-08</t>
        </is>
      </c>
    </row>
    <row r="824" ht="25.5" customHeight="1">
      <c r="A824" t="inlineStr">
        <is>
          <t>马玉炜聊斋（81节）+音频【完结】</t>
        </is>
      </c>
      <c r="B824" s="2" t="str">
        <f>=HYPERLINK("https://pan.quark.cn/s/ab33965d0b52", "https://pan.quark.cn/s/ab33965d0b52")</f>
        <v>https://pan.quark.cn/s/ab33965d0b52</v>
      </c>
      <c r="C824" t="inlineStr">
        <is>
          <t>52G</t>
        </is>
      </c>
      <c r="D824" t="inlineStr">
        <is>
          <t>/聊斋/音频/文学/马玉炜/其他</t>
        </is>
      </c>
      <c r="E824" t="inlineStr">
        <is>
          <t>https://dcn8qexvg13r.feishu.cn/share/base/query/shrcnMqxwwRkV3NUIUxPeab3sec</t>
        </is>
      </c>
      <c r="F824" t="inlineStr">
        <is>
          <t>请添加微信：k846211</t>
        </is>
      </c>
      <c r="G824" t="inlineStr">
        <is>
          <t>2025-12-08</t>
        </is>
      </c>
    </row>
    <row r="825" ht="25.5" customHeight="1">
      <c r="A825" t="inlineStr">
        <is>
          <t>马玉炜品味红楼梦（新课）</t>
        </is>
      </c>
      <c r="B825" s="2" t="str">
        <f>=HYPERLINK("https://pan.quark.cn/s/32b13665bb57", "https://pan.quark.cn/s/32b13665bb57")</f>
        <v>https://pan.quark.cn/s/32b13665bb57</v>
      </c>
      <c r="C825" t="inlineStr">
        <is>
          <t>23.9G</t>
        </is>
      </c>
      <c r="D825" t="inlineStr">
        <is>
          <t>/红楼梦/文学鉴赏/新课/白领/其他</t>
        </is>
      </c>
      <c r="E825" t="inlineStr">
        <is>
          <t>https://dcn8qexvg13r.feishu.cn/share/base/query/shrcnMqxwwRkV3NUIUxPeab3sec</t>
        </is>
      </c>
      <c r="F825" t="inlineStr">
        <is>
          <t>请添加微信：k846211</t>
        </is>
      </c>
      <c r="G825" t="inlineStr">
        <is>
          <t>2025-12-08</t>
        </is>
      </c>
    </row>
    <row r="826" ht="25.5" customHeight="1">
      <c r="A826" t="inlineStr">
        <is>
          <t>马玉炜西游记（43+81=124节）+音频+pdf【完结】</t>
        </is>
      </c>
      <c r="B826" s="2" t="str">
        <f>=HYPERLINK("https://pan.quark.cn/s/731c91e51525", "https://pan.quark.cn/s/731c91e51525")</f>
        <v>https://pan.quark.cn/s/731c91e51525</v>
      </c>
      <c r="C826" t="inlineStr">
        <is>
          <t>81.3G</t>
        </is>
      </c>
      <c r="D826" t="inlineStr">
        <is>
          <t>/西游记/马玉炜/音频/pdf/宝妈/家长群体/学龄儿童家长</t>
        </is>
      </c>
      <c r="E826" t="inlineStr">
        <is>
          <t>https://dcn8qexvg13r.feishu.cn/share/base/query/shrcnMqxwwRkV3NUIUxPeab3sec</t>
        </is>
      </c>
      <c r="F826" t="inlineStr">
        <is>
          <t>请添加微信：k846211</t>
        </is>
      </c>
      <c r="G826" t="inlineStr">
        <is>
          <t>2025-12-08</t>
        </is>
      </c>
    </row>
    <row r="827" ht="25.5" customHeight="1">
      <c r="A827" t="inlineStr">
        <is>
          <t>马玉炜《名著领读计划》持续更新</t>
        </is>
      </c>
      <c r="B827" s="2" t="str">
        <f>=HYPERLINK("https://pan.quark.cn/s/dd3b7a1ee056", "https://pan.quark.cn/s/dd3b7a1ee056")</f>
        <v>https://pan.quark.cn/s/dd3b7a1ee056</v>
      </c>
      <c r="C827" t="inlineStr">
        <is>
          <t>65.8G</t>
        </is>
      </c>
      <c r="D827" t="inlineStr">
        <is>
          <t>/名著/领读/阅读指导/持续更新/K12/宝妈/家长群体</t>
        </is>
      </c>
      <c r="E827" t="inlineStr">
        <is>
          <t>https://dcn8qexvg13r.feishu.cn/share/base/query/shrcnMqxwwRkV3NUIUxPeab3sec</t>
        </is>
      </c>
      <c r="F827" t="inlineStr">
        <is>
          <t>请添加微信：k846211</t>
        </is>
      </c>
      <c r="G827" t="inlineStr">
        <is>
          <t>2025-12-08</t>
        </is>
      </c>
    </row>
    <row r="828" ht="25.5" customHeight="1">
      <c r="A828" t="inlineStr">
        <is>
          <t>钱理群·吴晓东中国现代文学经典选讲</t>
        </is>
      </c>
      <c r="B828" s="2" t="str">
        <f>=HYPERLINK("https://pan.quark.cn/s/53b6903fd565", "https://pan.quark.cn/s/53b6903fd565")</f>
        <v>https://pan.quark.cn/s/53b6903fd565</v>
      </c>
      <c r="C828" t="inlineStr">
        <is>
          <t>69.8M</t>
        </is>
      </c>
      <c r="D828" t="inlineStr">
        <is>
          <t>/中国现代文学/经典选讲/钱理群/吴晓东/大学生/考研/考公/考证党</t>
        </is>
      </c>
      <c r="E828" t="inlineStr">
        <is>
          <t>https://dcn8qexvg13r.feishu.cn/share/base/query/shrcnMqxwwRkV3NUIUxPeab3sec</t>
        </is>
      </c>
      <c r="F828" t="inlineStr">
        <is>
          <t>请添加微信：k846211</t>
        </is>
      </c>
      <c r="G828" t="inlineStr">
        <is>
          <t>2025-12-08</t>
        </is>
      </c>
    </row>
    <row r="829" ht="25.5" customHeight="1">
      <c r="A829" t="inlineStr">
        <is>
          <t>全球史高级研修班</t>
        </is>
      </c>
      <c r="B829" s="2" t="str">
        <f>=HYPERLINK("https://pan.quark.cn/s/c522bb2aff24", "https://pan.quark.cn/s/c522bb2aff24")</f>
        <v>https://pan.quark.cn/s/c522bb2aff24</v>
      </c>
      <c r="C829" t="inlineStr">
        <is>
          <t>15.9G</t>
        </is>
      </c>
      <c r="D829" t="inlineStr">
        <is>
          <t>/全球史/研修班/学术提升/大学生/特定行业从业者</t>
        </is>
      </c>
      <c r="E829" t="inlineStr">
        <is>
          <t>https://dcn8qexvg13r.feishu.cn/share/base/query/shrcnMqxwwRkV3NUIUxPeab3sec</t>
        </is>
      </c>
      <c r="F829" t="inlineStr">
        <is>
          <t>请添加微信：k846211</t>
        </is>
      </c>
      <c r="G829" t="inlineStr">
        <is>
          <t>2025-12-08</t>
        </is>
      </c>
    </row>
    <row r="830" ht="25.5" customHeight="1">
      <c r="A830" t="inlineStr">
        <is>
          <t>思辨力35讲：像辩手一样思考</t>
        </is>
      </c>
      <c r="B830" s="2" t="str">
        <f>=HYPERLINK("https://pan.quark.cn/s/d7ae2fb99480", "https://pan.quark.cn/s/d7ae2fb99480")</f>
        <v>https://pan.quark.cn/s/d7ae2fb99480</v>
      </c>
      <c r="C830" t="inlineStr">
        <is>
          <t>1.1M</t>
        </is>
      </c>
      <c r="D830" t="inlineStr">
        <is>
          <t>/思辨力/思维训练/辩论技巧/认知提升/大学生/白领</t>
        </is>
      </c>
      <c r="E830" t="inlineStr">
        <is>
          <t>https://dcn8qexvg13r.feishu.cn/share/base/query/shrcnMqxwwRkV3NUIUxPeab3sec</t>
        </is>
      </c>
      <c r="F830" t="inlineStr">
        <is>
          <t>请添加微信：k846211</t>
        </is>
      </c>
      <c r="G830" t="inlineStr">
        <is>
          <t>2025-12-08</t>
        </is>
      </c>
    </row>
    <row r="831" ht="25.5" customHeight="1">
      <c r="A831" t="inlineStr">
        <is>
          <t>苏格拉底哲学快车：14位哲学家精选一日生活思辨课程</t>
        </is>
      </c>
      <c r="B831" s="2" t="str">
        <f>=HYPERLINK("https://pan.quark.cn/s/b32222f47567", "https://pan.quark.cn/s/b32222f47567")</f>
        <v>https://pan.quark.cn/s/b32222f47567</v>
      </c>
      <c r="C831" t="inlineStr">
        <is>
          <t>3.3M</t>
        </is>
      </c>
      <c r="D831" t="inlineStr">
        <is>
          <t>/哲学/思辨课程/苏格拉底/哲学家/大学生/白领</t>
        </is>
      </c>
      <c r="E831" t="inlineStr">
        <is>
          <t>https://dcn8qexvg13r.feishu.cn/share/base/query/shrcnMqxwwRkV3NUIUxPeab3sec</t>
        </is>
      </c>
      <c r="F831" t="inlineStr">
        <is>
          <t>请添加微信：k846211</t>
        </is>
      </c>
      <c r="G831" t="inlineStr">
        <is>
          <t>2025-12-08</t>
        </is>
      </c>
    </row>
    <row r="832" ht="25.5" customHeight="1">
      <c r="A832" t="inlineStr">
        <is>
          <t>三体（全六季） 精品广播剧</t>
        </is>
      </c>
      <c r="B832" s="2" t="str">
        <f>=HYPERLINK("https://pan.quark.cn/s/96ed67b8f920", "https://pan.quark.cn/s/96ed67b8f920")</f>
        <v>https://pan.quark.cn/s/96ed67b8f920</v>
      </c>
      <c r="C832" t="inlineStr">
        <is>
          <t>975.9M</t>
        </is>
      </c>
      <c r="D832" t="inlineStr">
        <is>
          <t>/三体/广播剧/科幻/剧集/其他/</t>
        </is>
      </c>
      <c r="E832" t="inlineStr">
        <is>
          <t>https://dcn8qexvg13r.feishu.cn/share/base/query/shrcnMqxwwRkV3NUIUxPeab3sec</t>
        </is>
      </c>
      <c r="F832" t="inlineStr">
        <is>
          <t>请添加微信：k846211</t>
        </is>
      </c>
      <c r="G832" t="inlineStr">
        <is>
          <t>2025-12-08</t>
        </is>
      </c>
    </row>
    <row r="833" ht="25.5" customHeight="1">
      <c r="A833" t="inlineStr">
        <is>
          <t>施展·中国史纲·空间篇</t>
        </is>
      </c>
      <c r="B833" s="2" t="str">
        <f>=HYPERLINK("https://pan.quark.cn/s/9995c05251b3", "https://pan.quark.cn/s/9995c05251b3")</f>
        <v>https://pan.quark.cn/s/9995c05251b3</v>
      </c>
      <c r="C833" t="inlineStr">
        <is>
          <t>451.9M</t>
        </is>
      </c>
      <c r="D833" t="inlineStr">
        <is>
          <t>/中国史/空间视角/历史研究/施展/大学生/考研/考公/考证党</t>
        </is>
      </c>
      <c r="E833" t="inlineStr">
        <is>
          <t>https://dcn8qexvg13r.feishu.cn/share/base/query/shrcnMqxwwRkV3NUIUxPeab3sec</t>
        </is>
      </c>
      <c r="F833" t="inlineStr">
        <is>
          <t>请添加微信：k846211</t>
        </is>
      </c>
      <c r="G833" t="inlineStr">
        <is>
          <t>2025-12-08</t>
        </is>
      </c>
    </row>
    <row r="834" ht="25.5" customHeight="1">
      <c r="A834" t="inlineStr">
        <is>
          <t>王受之教授：世界建筑文明史（古典篇）完结37集</t>
        </is>
      </c>
      <c r="B834" s="2" t="str">
        <f>=HYPERLINK("https://pan.quark.cn/s/a317bcbc7326", "https://pan.quark.cn/s/a317bcbc7326")</f>
        <v>https://pan.quark.cn/s/a317bcbc7326</v>
      </c>
      <c r="C834" t="inlineStr">
        <is>
          <t>6.1G</t>
        </is>
      </c>
      <c r="D834" t="inlineStr">
        <is>
          <t>/世界建筑文明史/古典建筑/王受之/建筑历史/大学生/特定行业从业者</t>
        </is>
      </c>
      <c r="E834" t="inlineStr">
        <is>
          <t>https://dcn8qexvg13r.feishu.cn/share/base/query/shrcnMqxwwRkV3NUIUxPeab3sec</t>
        </is>
      </c>
      <c r="F834" t="inlineStr">
        <is>
          <t>请添加微信：k846211</t>
        </is>
      </c>
      <c r="G834" t="inlineStr">
        <is>
          <t>2025-12-08</t>
        </is>
      </c>
    </row>
    <row r="835" ht="25.5" customHeight="1">
      <c r="A835" t="inlineStr">
        <is>
          <t>耶鲁学姐教你高效学习_薛笑</t>
        </is>
      </c>
      <c r="B835" s="2" t="str">
        <f>=HYPERLINK("https://pan.quark.cn/s/8557ccd80a6f", "https://pan.quark.cn/s/8557ccd80a6f")</f>
        <v>https://pan.quark.cn/s/8557ccd80a6f</v>
      </c>
      <c r="C835" t="inlineStr">
        <is>
          <t>6G</t>
        </is>
      </c>
      <c r="D835" t="inlineStr">
        <is>
          <t>/高效学习/学习方法/耶鲁学姐/大学生/考研/考公/考证党</t>
        </is>
      </c>
      <c r="E835" t="inlineStr">
        <is>
          <t>https://dcn8qexvg13r.feishu.cn/share/base/query/shrcnMqxwwRkV3NUIUxPeab3sec</t>
        </is>
      </c>
      <c r="F835" t="inlineStr">
        <is>
          <t>请添加微信：k846211</t>
        </is>
      </c>
      <c r="G835" t="inlineStr">
        <is>
          <t>2025-12-08</t>
        </is>
      </c>
    </row>
    <row r="836" ht="25.5" customHeight="1">
      <c r="A836" t="inlineStr">
        <is>
          <t xml:space="preserve">犹太人的88个成功思维课程 </t>
        </is>
      </c>
      <c r="B836" s="2" t="str">
        <f>=HYPERLINK("https://pan.quark.cn/s/9f21d4f5996d", "https://pan.quark.cn/s/9f21d4f5996d")</f>
        <v>https://pan.quark.cn/s/9f21d4f5996d</v>
      </c>
      <c r="C836" t="inlineStr">
        <is>
          <t>599.5M</t>
        </is>
      </c>
      <c r="D836" t="inlineStr">
        <is>
          <t>/犹太人/成功思维/课程/思维训练/白领/管理者</t>
        </is>
      </c>
      <c r="E836" t="inlineStr">
        <is>
          <t>https://dcn8qexvg13r.feishu.cn/share/base/query/shrcnMqxwwRkV3NUIUxPeab3sec</t>
        </is>
      </c>
      <c r="F836" t="inlineStr">
        <is>
          <t>请添加微信：k846211</t>
        </is>
      </c>
      <c r="G836" t="inlineStr">
        <is>
          <t>2025-12-08</t>
        </is>
      </c>
    </row>
    <row r="837" ht="25.5" customHeight="1">
      <c r="A837" t="inlineStr">
        <is>
          <t>主播七言《精读中国历史：二十四史通史解析》</t>
        </is>
      </c>
      <c r="B837" s="2" t="str">
        <f>=HYPERLINK("https://pan.quark.cn/s/cbf7819083fa", "https://pan.quark.cn/s/cbf7819083fa")</f>
        <v>https://pan.quark.cn/s/cbf7819083fa</v>
      </c>
      <c r="C837" t="inlineStr">
        <is>
          <t>7.5G</t>
        </is>
      </c>
      <c r="D837" t="inlineStr">
        <is>
          <t>/中国历史/二十四史/通史解析/精读/大学生/考研/考公/考证党</t>
        </is>
      </c>
      <c r="E837" t="inlineStr">
        <is>
          <t>https://dcn8qexvg13r.feishu.cn/share/base/query/shrcnMqxwwRkV3NUIUxPeab3sec</t>
        </is>
      </c>
      <c r="F837" t="inlineStr">
        <is>
          <t>请添加微信：k846211</t>
        </is>
      </c>
      <c r="G837" t="inlineStr">
        <is>
          <t>2025-12-08</t>
        </is>
      </c>
    </row>
    <row r="838" ht="25.5" customHeight="1">
      <c r="A838" t="inlineStr">
        <is>
          <t>《麻辣情医吴迪：100天告别单身》【喜马拉雅】</t>
        </is>
      </c>
      <c r="B838" s="2" t="str">
        <f>=HYPERLINK("https://pan.quark.cn/s/0ec265641bb5", "https://pan.quark.cn/s/0ec265641bb5")</f>
        <v>https://pan.quark.cn/s/0ec265641bb5</v>
      </c>
      <c r="C838" t="inlineStr">
        <is>
          <t>106M</t>
        </is>
      </c>
      <c r="D838" t="inlineStr">
        <is>
          <t>/脱单/情感/恋爱指导/音频/白领/其他</t>
        </is>
      </c>
      <c r="E838" t="inlineStr">
        <is>
          <t>https://dcn8qexvg13r.feishu.cn/share/base/query/shrcnMqxwwRkV3NUIUxPeab3sec</t>
        </is>
      </c>
      <c r="F838" t="inlineStr">
        <is>
          <t>请添加微信：k846211</t>
        </is>
      </c>
      <c r="G838" t="inlineStr">
        <is>
          <t>2025-12-08</t>
        </is>
      </c>
    </row>
    <row r="839" ht="25.5" customHeight="1">
      <c r="A839" t="inlineStr">
        <is>
          <t>《三体》有声书 刘慈欣原著 青雪制播 配乐一流 身临其境 实属精品[mp3]</t>
        </is>
      </c>
      <c r="B839" s="2" t="str">
        <f>=HYPERLINK("https://pan.quark.cn/s/f79f3e25306a", "https://pan.quark.cn/s/f79f3e25306a")</f>
        <v>https://pan.quark.cn/s/f79f3e25306a</v>
      </c>
      <c r="C839" t="inlineStr">
        <is>
          <t>3.6G</t>
        </is>
      </c>
      <c r="D839" t="inlineStr">
        <is>
          <t>/三体/有声书/刘慈欣/配乐精品/其他</t>
        </is>
      </c>
      <c r="E839" t="inlineStr">
        <is>
          <t>https://dcn8qexvg13r.feishu.cn/share/base/query/shrcnMqxwwRkV3NUIUxPeab3sec</t>
        </is>
      </c>
      <c r="F839" t="inlineStr">
        <is>
          <t>请添加微信：k846211</t>
        </is>
      </c>
      <c r="G839" t="inlineStr">
        <is>
          <t>2025-12-08</t>
        </is>
      </c>
    </row>
    <row r="840" ht="25.5" customHeight="1">
      <c r="A840" t="inlineStr">
        <is>
          <t>【E018】少年派 ·1-6季</t>
        </is>
      </c>
      <c r="B840" s="2" t="str">
        <f>=HYPERLINK("https://pan.quark.cn/s/f48ea6145215", "https://pan.quark.cn/s/f48ea6145215")</f>
        <v>https://pan.quark.cn/s/f48ea6145215</v>
      </c>
      <c r="C840" t="inlineStr">
        <is>
          <t>5.8G</t>
        </is>
      </c>
      <c r="D840" t="inlineStr">
        <is>
          <t>/少年派/成长/校园/剧集/学龄儿童家长/K12</t>
        </is>
      </c>
      <c r="E840" t="inlineStr">
        <is>
          <t>https://dcn8qexvg13r.feishu.cn/share/base/query/shrcnMqxwwRkV3NUIUxPeab3sec</t>
        </is>
      </c>
      <c r="F840" t="inlineStr">
        <is>
          <t>请添加微信：k846211</t>
        </is>
      </c>
      <c r="G840" t="inlineStr">
        <is>
          <t>2025-12-08</t>
        </is>
      </c>
    </row>
    <row r="841" ht="25.5" customHeight="1">
      <c r="A841" t="inlineStr">
        <is>
          <t>【冯唐】资源全集（讲书 讲资治通鉴 道德经 成事心法）</t>
        </is>
      </c>
      <c r="B841" s="2" t="str">
        <f>=HYPERLINK("https://pan.quark.cn/s/4b0ed4c84b5f", "https://pan.quark.cn/s/4b0ed4c84b5f")</f>
        <v>https://pan.quark.cn/s/4b0ed4c84b5f</v>
      </c>
      <c r="C841" t="inlineStr">
        <is>
          <t>18.3G</t>
        </is>
      </c>
      <c r="D841" t="inlineStr">
        <is>
          <t>/冯唐/资治通鉴/道德经/成事心法/管理者/白领</t>
        </is>
      </c>
      <c r="E841" t="inlineStr">
        <is>
          <t>https://dcn8qexvg13r.feishu.cn/share/base/query/shrcnMqxwwRkV3NUIUxPeab3sec</t>
        </is>
      </c>
      <c r="F841" t="inlineStr">
        <is>
          <t>请添加微信：k846211</t>
        </is>
      </c>
      <c r="G841" t="inlineStr">
        <is>
          <t>2025-12-08</t>
        </is>
      </c>
    </row>
    <row r="842" ht="25.5" customHeight="1">
      <c r="A842" t="inlineStr">
        <is>
          <t>【黄执中】课程全套（突破性格困境的表达课 高效沟通 超级说服力）（101G）</t>
        </is>
      </c>
      <c r="B842" s="2" t="str">
        <f>=HYPERLINK("https://pan.quark.cn/s/3af32fce3089", "https://pan.quark.cn/s/3af32fce3089")</f>
        <v>https://pan.quark.cn/s/3af32fce3089</v>
      </c>
      <c r="C842" t="inlineStr">
        <is>
          <t>101.7G</t>
        </is>
      </c>
      <c r="D842" t="inlineStr">
        <is>
          <t>/黄执中/表达课/高效沟通/超级说服力/白领/管理者</t>
        </is>
      </c>
      <c r="E842" t="inlineStr">
        <is>
          <t>https://dcn8qexvg13r.feishu.cn/share/base/query/shrcnMqxwwRkV3NUIUxPeab3sec</t>
        </is>
      </c>
      <c r="F842" t="inlineStr">
        <is>
          <t>请添加微信：k846211</t>
        </is>
      </c>
      <c r="G842" t="inlineStr">
        <is>
          <t>2025-12-08</t>
        </is>
      </c>
    </row>
    <row r="843" ht="25.5" customHeight="1">
      <c r="A843" t="inlineStr">
        <is>
          <t>【完结】说理与思辨：给孩子的思辨启蒙</t>
        </is>
      </c>
      <c r="B843" s="2" t="str">
        <f>=HYPERLINK("https://pan.quark.cn/s/a19b8b8b6dc3", "https://pan.quark.cn/s/a19b8b8b6dc3")</f>
        <v>https://pan.quark.cn/s/a19b8b8b6dc3</v>
      </c>
      <c r="C843" t="inlineStr">
        <is>
          <t>923.8M</t>
        </is>
      </c>
      <c r="D843" t="inlineStr">
        <is>
          <t>/说理/思辨/启蒙/儿童教育/宝妈/家长群体/学龄儿童家长</t>
        </is>
      </c>
      <c r="E843" t="inlineStr">
        <is>
          <t>https://dcn8qexvg13r.feishu.cn/share/base/query/shrcnMqxwwRkV3NUIUxPeab3sec</t>
        </is>
      </c>
      <c r="F843" t="inlineStr">
        <is>
          <t>请添加微信：k846211</t>
        </is>
      </c>
      <c r="G843" t="inlineStr">
        <is>
          <t>2025-12-08</t>
        </is>
      </c>
    </row>
    <row r="844" ht="25.5" customHeight="1">
      <c r="A844" t="inlineStr">
        <is>
          <t>【喜马拉雅】陈正宏《史记》精讲【完结】【m4a 1.5G】</t>
        </is>
      </c>
      <c r="B844" s="2" t="str">
        <f>=HYPERLINK("https://pan.quark.cn/s/a0be30e8fc76", "https://pan.quark.cn/s/a0be30e8fc76")</f>
        <v>https://pan.quark.cn/s/a0be30e8fc76</v>
      </c>
      <c r="C844" t="inlineStr">
        <is>
          <t>1.4G</t>
        </is>
      </c>
      <c r="D844" t="inlineStr">
        <is>
          <t>/史记/历史/音频课程/陈正宏/大学生/白领</t>
        </is>
      </c>
      <c r="E844" t="inlineStr">
        <is>
          <t>https://dcn8qexvg13r.feishu.cn/share/base/query/shrcnMqxwwRkV3NUIUxPeab3sec</t>
        </is>
      </c>
      <c r="F844" t="inlineStr">
        <is>
          <t>请添加微信：k846211</t>
        </is>
      </c>
      <c r="G844" t="inlineStr">
        <is>
          <t>2025-12-08</t>
        </is>
      </c>
    </row>
    <row r="845" ht="25.5" customHeight="1">
      <c r="A845" t="inlineStr">
        <is>
          <t>🛵🛵「儿童有声读物 60部」</t>
        </is>
      </c>
      <c r="B845" s="2" t="str">
        <f>=HYPERLINK("https://pan.quark.cn/s/7b8561ac65c6", "https://pan.quark.cn/s/7b8561ac65c6")</f>
        <v>https://pan.quark.cn/s/7b8561ac65c6</v>
      </c>
      <c r="C845" t="inlineStr">
        <is>
          <t>4G</t>
        </is>
      </c>
      <c r="D845" t="inlineStr">
        <is>
          <t>/儿童/有声读物/故事/启蒙/宝妈/家长群体/学龄儿童家长</t>
        </is>
      </c>
      <c r="E845" t="inlineStr">
        <is>
          <t>https://dcn8qexvg13r.feishu.cn/share/base/query/shrcnMqxwwRkV3NUIUxPeab3sec</t>
        </is>
      </c>
      <c r="F845" t="inlineStr">
        <is>
          <t>请添加微信：k846211</t>
        </is>
      </c>
      <c r="G845" t="inlineStr">
        <is>
          <t>2025-12-08</t>
        </is>
      </c>
    </row>
    <row r="846" ht="25.5" customHeight="1">
      <c r="A846" t="inlineStr">
        <is>
          <t>50部英语动画电影 含台词本</t>
        </is>
      </c>
      <c r="B846" s="2" t="str">
        <f>=HYPERLINK("https://pan.quark.cn/s/a63488778ffe", "https://pan.quark.cn/s/a63488778ffe")</f>
        <v>https://pan.quark.cn/s/a63488778ffe</v>
      </c>
      <c r="C846" t="inlineStr">
        <is>
          <t>137.6G</t>
        </is>
      </c>
      <c r="D846" t="inlineStr">
        <is>
          <t>/英语动画电影/台词本/英语学习/儿童英语/K12/语言</t>
        </is>
      </c>
      <c r="E846" t="inlineStr">
        <is>
          <t>https://dcn8qexvg13r.feishu.cn/share/base/query/shrcnMqxwwRkV3NUIUxPeab3sec</t>
        </is>
      </c>
      <c r="F846" t="inlineStr">
        <is>
          <t>请添加微信：k846211</t>
        </is>
      </c>
      <c r="G846" t="inlineStr">
        <is>
          <t>2025-12-08</t>
        </is>
      </c>
    </row>
    <row r="847" ht="25.5" customHeight="1">
      <c r="A847" t="inlineStr">
        <is>
          <t>2024更新高分纪录片合集 42部</t>
        </is>
      </c>
      <c r="B847" s="2" t="str">
        <f>=HYPERLINK("https://pan.quark.cn/s/fccc026e7c4c", "https://pan.quark.cn/s/fccc026e7c4c")</f>
        <v>https://pan.quark.cn/s/fccc026e7c4c</v>
      </c>
      <c r="C847" t="inlineStr">
        <is>
          <t>306.5G</t>
        </is>
      </c>
      <c r="D847" t="inlineStr">
        <is>
          <t>/2024更新/高分/纪录片/纪录片</t>
        </is>
      </c>
      <c r="E847" t="inlineStr">
        <is>
          <t>https://dcn8qexvg13r.feishu.cn/share/base/query/shrcnMqxwwRkV3NUIUxPeab3sec</t>
        </is>
      </c>
      <c r="F847" t="inlineStr">
        <is>
          <t>请添加微信：k846211</t>
        </is>
      </c>
      <c r="G847" t="inlineStr">
        <is>
          <t>2025-12-08</t>
        </is>
      </c>
    </row>
    <row r="848" ht="25.5" customHeight="1">
      <c r="A848" t="inlineStr">
        <is>
          <t>BBC儿童纪实类节目《My Very First 1-2季 (视频+音频) 》</t>
        </is>
      </c>
      <c r="B848" s="2" t="str">
        <f>=HYPERLINK("https://pan.quark.cn/s/d67cd4b13bf3", "https://pan.quark.cn/s/d67cd4b13bf3")</f>
        <v>https://pan.quark.cn/s/d67cd4b13bf3</v>
      </c>
      <c r="C848" t="inlineStr">
        <is>
          <t>5.2G</t>
        </is>
      </c>
      <c r="D848" t="inlineStr">
        <is>
          <t>/BBC儿童纪实/视频音频/1-2季/儿童启蒙/宝妈/家长群体/育儿</t>
        </is>
      </c>
      <c r="E848" t="inlineStr">
        <is>
          <t>https://dcn8qexvg13r.feishu.cn/share/base/query/shrcnMqxwwRkV3NUIUxPeab3sec</t>
        </is>
      </c>
      <c r="F848" t="inlineStr">
        <is>
          <t>请添加微信：k846211</t>
        </is>
      </c>
      <c r="G848" t="inlineStr">
        <is>
          <t>2025-12-08</t>
        </is>
      </c>
    </row>
    <row r="849" ht="25.5" customHeight="1">
      <c r="A849" t="inlineStr">
        <is>
          <t>BBC纪录片大合集（912G）</t>
        </is>
      </c>
      <c r="B849" s="2" t="str">
        <f>=HYPERLINK("https://pan.quark.cn/s/03426f5e3c49", "https://pan.quark.cn/s/03426f5e3c49")</f>
        <v>https://pan.quark.cn/s/03426f5e3c49</v>
      </c>
      <c r="C849" t="inlineStr">
        <is>
          <t>907.7G</t>
        </is>
      </c>
      <c r="D849" t="inlineStr">
        <is>
          <t>/BBC/纪录片/知识科普/教育学习/纪录片</t>
        </is>
      </c>
      <c r="E849" t="inlineStr">
        <is>
          <t>https://dcn8qexvg13r.feishu.cn/share/base/query/shrcnMqxwwRkV3NUIUxPeab3sec</t>
        </is>
      </c>
      <c r="F849" t="inlineStr">
        <is>
          <t>请添加微信：k846211</t>
        </is>
      </c>
      <c r="G849" t="inlineStr">
        <is>
          <t>2025-12-08</t>
        </is>
      </c>
    </row>
    <row r="850" ht="25.5" customHeight="1">
      <c r="A850" t="inlineStr">
        <is>
          <t>碟中谍 系列1-7部合集 4K版本</t>
        </is>
      </c>
      <c r="B850" s="2" t="str">
        <f>=HYPERLINK("https://pan.quark.cn/s/c2f0299f6401", "https://pan.quark.cn/s/c2f0299f6401")</f>
        <v>https://pan.quark.cn/s/c2f0299f6401</v>
      </c>
      <c r="C850" t="inlineStr">
        <is>
          <t>105.9G</t>
        </is>
      </c>
      <c r="D850" t="inlineStr">
        <is>
          <t>/碟中谍/4K/动作电影/冒险电影/电影</t>
        </is>
      </c>
      <c r="E850" t="inlineStr">
        <is>
          <t>https://dcn8qexvg13r.feishu.cn/share/base/query/shrcnMqxwwRkV3NUIUxPeab3sec</t>
        </is>
      </c>
      <c r="F850" t="inlineStr">
        <is>
          <t>请添加微信：k846211</t>
        </is>
      </c>
      <c r="G850" t="inlineStr">
        <is>
          <t>2025-12-08</t>
        </is>
      </c>
    </row>
    <row r="851" ht="25.5" customHeight="1">
      <c r="A851" t="inlineStr">
        <is>
          <t>国家地理百年纪念典藏纪录片100集 (全)</t>
        </is>
      </c>
      <c r="B851" s="2" t="str">
        <f>=HYPERLINK("https://pan.quark.cn/s/ee328542de93", "https://pan.quark.cn/s/ee328542de93")</f>
        <v>https://pan.quark.cn/s/ee328542de93</v>
      </c>
      <c r="C851" t="inlineStr">
        <is>
          <t>22.1G</t>
        </is>
      </c>
      <c r="D851" t="inlineStr">
        <is>
          <t>/国家地理/百年纪念/纪录片/自然探索/纪录片/大学生</t>
        </is>
      </c>
      <c r="E851" t="inlineStr">
        <is>
          <t>https://dcn8qexvg13r.feishu.cn/share/base/query/shrcnMqxwwRkV3NUIUxPeab3sec</t>
        </is>
      </c>
      <c r="F851" t="inlineStr">
        <is>
          <t>请添加微信：k846211</t>
        </is>
      </c>
      <c r="G851" t="inlineStr">
        <is>
          <t>2025-12-08</t>
        </is>
      </c>
    </row>
    <row r="852" ht="25.5" customHeight="1">
      <c r="A852" t="inlineStr">
        <is>
          <t>高智商烧脑反转悬疑片32部</t>
        </is>
      </c>
      <c r="B852" s="2" t="str">
        <f>=HYPERLINK("https://pan.quark.cn/s/93e7ebdc081c", "https://pan.quark.cn/s/93e7ebdc081c")</f>
        <v>https://pan.quark.cn/s/93e7ebdc081c</v>
      </c>
      <c r="C852" t="inlineStr">
        <is>
          <t>146.6G</t>
        </is>
      </c>
      <c r="D852" t="inlineStr">
        <is>
          <t>/高智商/烧脑/反转/悬疑/电影</t>
        </is>
      </c>
      <c r="E852" t="inlineStr">
        <is>
          <t>https://dcn8qexvg13r.feishu.cn/share/base/query/shrcnMqxwwRkV3NUIUxPeab3sec</t>
        </is>
      </c>
      <c r="F852" t="inlineStr">
        <is>
          <t>请添加微信：k846211</t>
        </is>
      </c>
      <c r="G852" t="inlineStr">
        <is>
          <t>2025-12-08</t>
        </is>
      </c>
    </row>
    <row r="853" ht="25.5" customHeight="1">
      <c r="A853" t="inlineStr">
        <is>
          <t>红色电影50部合集</t>
        </is>
      </c>
      <c r="B853" s="2" t="str">
        <f>=HYPERLINK("https://pan.quark.cn/s/2a1451646acf", "https://pan.quark.cn/s/2a1451646acf")</f>
        <v>https://pan.quark.cn/s/2a1451646acf</v>
      </c>
      <c r="C853" t="inlineStr">
        <is>
          <t>37.9G</t>
        </is>
      </c>
      <c r="D853" t="inlineStr">
        <is>
          <t>/红色主题/电影/爱国主义教育/历史题材/电影</t>
        </is>
      </c>
      <c r="E853" t="inlineStr">
        <is>
          <t>https://dcn8qexvg13r.feishu.cn/share/base/query/shrcnMqxwwRkV3NUIUxPeab3sec</t>
        </is>
      </c>
      <c r="F853" t="inlineStr">
        <is>
          <t>请添加微信：k846211</t>
        </is>
      </c>
      <c r="G853" t="inlineStr">
        <is>
          <t>2025-12-08</t>
        </is>
      </c>
    </row>
    <row r="854" ht="25.5" customHeight="1">
      <c r="A854" t="inlineStr">
        <is>
          <t>化学学科纪录片【10部】</t>
        </is>
      </c>
      <c r="B854" s="2" t="str">
        <f>=HYPERLINK("https://pan.quark.cn/s/57b5b77de8e6", "https://pan.quark.cn/s/57b5b77de8e6")</f>
        <v>https://pan.quark.cn/s/57b5b77de8e6</v>
      </c>
      <c r="C854" t="inlineStr">
        <is>
          <t>24.6G</t>
        </is>
      </c>
      <c r="D854" t="inlineStr">
        <is>
          <t>/化学/纪录片/学科学习/K12/大学生</t>
        </is>
      </c>
      <c r="E854" t="inlineStr">
        <is>
          <t>https://dcn8qexvg13r.feishu.cn/share/base/query/shrcnMqxwwRkV3NUIUxPeab3sec</t>
        </is>
      </c>
      <c r="F854" t="inlineStr">
        <is>
          <t>请添加微信：k846211</t>
        </is>
      </c>
      <c r="G854" t="inlineStr">
        <is>
          <t>2025-12-08</t>
        </is>
      </c>
    </row>
    <row r="855" ht="25.5" customHeight="1">
      <c r="A855" t="inlineStr">
        <is>
          <t>孩子爱看的历史动画片合集</t>
        </is>
      </c>
      <c r="B855" s="2" t="str">
        <f>=HYPERLINK("https://pan.quark.cn/s/535bf1f0611e", "https://pan.quark.cn/s/535bf1f0611e")</f>
        <v>https://pan.quark.cn/s/535bf1f0611e</v>
      </c>
      <c r="C855" t="inlineStr">
        <is>
          <t>41.5G</t>
        </is>
      </c>
      <c r="D855" t="inlineStr">
        <is>
          <t>/历史/动画片/儿童教育/孩子/宝妈/家长群体/学龄儿童家长</t>
        </is>
      </c>
      <c r="E855" t="inlineStr">
        <is>
          <t>https://dcn8qexvg13r.feishu.cn/share/base/query/shrcnMqxwwRkV3NUIUxPeab3sec</t>
        </is>
      </c>
      <c r="F855" t="inlineStr">
        <is>
          <t>请添加微信：k846211</t>
        </is>
      </c>
      <c r="G855" t="inlineStr">
        <is>
          <t>2025-12-08</t>
        </is>
      </c>
    </row>
    <row r="856" ht="25.5" customHeight="1">
      <c r="A856" t="inlineStr">
        <is>
          <t>军事纪录片 176部大合集 715G</t>
        </is>
      </c>
      <c r="B856" s="2" t="str">
        <f>=HYPERLINK("https://pan.quark.cn/s/94d2460ba6a6", "https://pan.quark.cn/s/94d2460ba6a6")</f>
        <v>https://pan.quark.cn/s/94d2460ba6a6</v>
      </c>
      <c r="C856" t="inlineStr">
        <is>
          <t>714.1G</t>
        </is>
      </c>
      <c r="D856" t="inlineStr">
        <is>
          <t>/军事/纪录片/历史/军事爱好者/纪录片</t>
        </is>
      </c>
      <c r="E856" t="inlineStr">
        <is>
          <t>https://dcn8qexvg13r.feishu.cn/share/base/query/shrcnMqxwwRkV3NUIUxPeab3sec</t>
        </is>
      </c>
      <c r="F856" t="inlineStr">
        <is>
          <t>请添加微信：k846211</t>
        </is>
      </c>
      <c r="G856" t="inlineStr">
        <is>
          <t>2025-12-08</t>
        </is>
      </c>
    </row>
    <row r="857" ht="25.5" customHeight="1">
      <c r="A857" t="inlineStr">
        <is>
          <t>科学学科纪录片【18部】</t>
        </is>
      </c>
      <c r="B857" s="2" t="str">
        <f>=HYPERLINK("https://pan.quark.cn/s/05fb7c667f47", "https://pan.quark.cn/s/05fb7c667f47")</f>
        <v>https://pan.quark.cn/s/05fb7c667f47</v>
      </c>
      <c r="C857" t="inlineStr">
        <is>
          <t>386.7G</t>
        </is>
      </c>
      <c r="D857" t="inlineStr">
        <is>
          <t>/科学/纪录片/科普教育/K12/大学生</t>
        </is>
      </c>
      <c r="E857" t="inlineStr">
        <is>
          <t>https://dcn8qexvg13r.feishu.cn/share/base/query/shrcnMqxwwRkV3NUIUxPeab3sec</t>
        </is>
      </c>
      <c r="F857" t="inlineStr">
        <is>
          <t>请添加微信：k846211</t>
        </is>
      </c>
      <c r="G857" t="inlineStr">
        <is>
          <t>2025-12-08</t>
        </is>
      </c>
    </row>
    <row r="858" ht="25.5" customHeight="1">
      <c r="A858" t="inlineStr">
        <is>
          <t>吕克·贝松导演作品合集</t>
        </is>
      </c>
      <c r="B858" s="2" t="str">
        <f>=HYPERLINK("https://pan.quark.cn/s/14b6db4ec283", "https://pan.quark.cn/s/14b6db4ec283")</f>
        <v>https://pan.quark.cn/s/14b6db4ec283</v>
      </c>
      <c r="C858" t="inlineStr">
        <is>
          <t>70.3G</t>
        </is>
      </c>
      <c r="D858" t="inlineStr">
        <is>
          <t>/吕克·贝松/电影导演/导演作品/电影/电影</t>
        </is>
      </c>
      <c r="E858" t="inlineStr">
        <is>
          <t>https://dcn8qexvg13r.feishu.cn/share/base/query/shrcnMqxwwRkV3NUIUxPeab3sec</t>
        </is>
      </c>
      <c r="F858" t="inlineStr">
        <is>
          <t>请添加微信：k846211</t>
        </is>
      </c>
      <c r="G858" t="inlineStr">
        <is>
          <t>2025-12-08</t>
        </is>
      </c>
    </row>
    <row r="859" ht="25.5" customHeight="1">
      <c r="A859" t="inlineStr">
        <is>
          <t>历史学科纪录片（19部）</t>
        </is>
      </c>
      <c r="B859" s="2" t="str">
        <f>=HYPERLINK("https://pan.quark.cn/s/4d0962ec5d7b", "https://pan.quark.cn/s/4d0962ec5d7b")</f>
        <v>https://pan.quark.cn/s/4d0962ec5d7b</v>
      </c>
      <c r="C859" t="inlineStr">
        <is>
          <t>173.9G</t>
        </is>
      </c>
      <c r="D859" t="inlineStr">
        <is>
          <t>/历史/纪录片/知识学习/K12/大学生</t>
        </is>
      </c>
      <c r="E859" t="inlineStr">
        <is>
          <t>https://dcn8qexvg13r.feishu.cn/share/base/query/shrcnMqxwwRkV3NUIUxPeab3sec</t>
        </is>
      </c>
      <c r="F859" t="inlineStr">
        <is>
          <t>请添加微信：k846211</t>
        </is>
      </c>
      <c r="G859" t="inlineStr">
        <is>
          <t>2025-12-08</t>
        </is>
      </c>
    </row>
    <row r="860" ht="25.5" customHeight="1">
      <c r="A860" t="inlineStr">
        <is>
          <t>漫威系列电影合集50部 4K REMUX原盘 国英双语音轨 内封中英特效字幕 收藏版！</t>
        </is>
      </c>
      <c r="B860" s="2" t="str">
        <f>=HYPERLINK("https://pan.quark.cn/s/3cb4c67f68fa", "https://pan.quark.cn/s/3cb4c67f68fa")</f>
        <v>https://pan.quark.cn/s/3cb4c67f68fa</v>
      </c>
      <c r="C860" t="inlineStr">
        <is>
          <t>2.5</t>
        </is>
      </c>
      <c r="D860" t="inlineStr">
        <is>
          <t>/漫威/4K REMUX/国英双语/中英特效字幕/电影</t>
        </is>
      </c>
      <c r="E860" t="inlineStr">
        <is>
          <t>https://dcn8qexvg13r.feishu.cn/share/base/query/shrcnMqxwwRkV3NUIUxPeab3sec</t>
        </is>
      </c>
      <c r="F860" t="inlineStr">
        <is>
          <t>请添加微信：k846211</t>
        </is>
      </c>
      <c r="G860" t="inlineStr">
        <is>
          <t>2025-12-08</t>
        </is>
      </c>
    </row>
    <row r="861" ht="25.5" customHeight="1">
      <c r="A861" t="inlineStr">
        <is>
          <t>R 瑞K和莫D 第8季（2025）附1-7季</t>
        </is>
      </c>
      <c r="B861" s="2" t="str">
        <f>=HYPERLINK("https://pan.quark.cn/s/d460cd0267ed", "https://pan.quark.cn/s/d460cd0267ed")</f>
        <v>https://pan.quark.cn/s/d460cd0267ed</v>
      </c>
      <c r="C861" t="inlineStr">
        <is>
          <t>33.4G</t>
        </is>
      </c>
      <c r="D861" t="inlineStr">
        <is>
          <t>/Rick and Morty/动画剧集/科幻喜剧/冒险/剧集/动漫</t>
        </is>
      </c>
      <c r="E861" t="inlineStr">
        <is>
          <t>https://dcn8qexvg13r.feishu.cn/share/base/query/shrcnMqxwwRkV3NUIUxPeab3sec</t>
        </is>
      </c>
      <c r="F861" t="inlineStr">
        <is>
          <t>请添加微信：k846211</t>
        </is>
      </c>
      <c r="G861" t="inlineStr">
        <is>
          <t>2025-12-08</t>
        </is>
      </c>
    </row>
    <row r="862" ht="25.5" customHeight="1">
      <c r="A862" t="inlineStr">
        <is>
          <t>日本十大烧脑推理电影</t>
        </is>
      </c>
      <c r="B862" s="2" t="str">
        <f>=HYPERLINK("https://pan.quark.cn/s/4f1c00cdaca9", "https://pan.quark.cn/s/4f1c00cdaca9")</f>
        <v>https://pan.quark.cn/s/4f1c00cdaca9</v>
      </c>
      <c r="C862" t="inlineStr">
        <is>
          <t>41.6G</t>
        </is>
      </c>
      <c r="D862" t="inlineStr">
        <is>
          <t>/日本/烧脑/推理/电影/电影</t>
        </is>
      </c>
      <c r="E862" t="inlineStr">
        <is>
          <t>https://dcn8qexvg13r.feishu.cn/share/base/query/shrcnMqxwwRkV3NUIUxPeab3sec</t>
        </is>
      </c>
      <c r="F862" t="inlineStr">
        <is>
          <t>请添加微信：k846211</t>
        </is>
      </c>
      <c r="G862" t="inlineStr">
        <is>
          <t>2025-12-08</t>
        </is>
      </c>
    </row>
    <row r="863" ht="25.5" customHeight="1">
      <c r="A863" t="inlineStr">
        <is>
          <t>人间惊鸿客（2025）［纪录片］</t>
        </is>
      </c>
      <c r="B863" s="2" t="str">
        <f>=HYPERLINK("https://pan.quark.cn/s/7e577d5e6fc8", "https://pan.quark.cn/s/7e577d5e6fc8")</f>
        <v>https://pan.quark.cn/s/7e577d5e6fc8</v>
      </c>
      <c r="C863" t="inlineStr">
        <is>
          <t>650.6M</t>
        </is>
      </c>
      <c r="D863" t="inlineStr">
        <is>
          <t>/人间惊鸿客/2025/纪录片/纪录片</t>
        </is>
      </c>
      <c r="E863" t="inlineStr">
        <is>
          <t>https://dcn8qexvg13r.feishu.cn/share/base/query/shrcnMqxwwRkV3NUIUxPeab3sec</t>
        </is>
      </c>
      <c r="F863" t="inlineStr">
        <is>
          <t>请添加微信：k846211</t>
        </is>
      </c>
      <c r="G863" t="inlineStr">
        <is>
          <t>2025-12-08</t>
        </is>
      </c>
    </row>
    <row r="864" ht="25.5" customHeight="1">
      <c r="A864" t="inlineStr">
        <is>
          <t>人人影视HR-HDTV动画电影合集（271G）</t>
        </is>
      </c>
      <c r="B864" s="2" t="str">
        <f>=HYPERLINK("https://pan.quark.cn/s/7d1efc6f3f9a", "https://pan.quark.cn/s/7d1efc6f3f9a")</f>
        <v>https://pan.quark.cn/s/7d1efc6f3f9a</v>
      </c>
      <c r="C864" t="inlineStr">
        <is>
          <t>269.5G</t>
        </is>
      </c>
      <c r="D864" t="inlineStr">
        <is>
          <t>/动画电影/HR-HDTV/影视资源/动漫/电影</t>
        </is>
      </c>
      <c r="E864" t="inlineStr">
        <is>
          <t>https://dcn8qexvg13r.feishu.cn/share/base/query/shrcnMqxwwRkV3NUIUxPeab3sec</t>
        </is>
      </c>
      <c r="F864" t="inlineStr">
        <is>
          <t>请添加微信：k846211</t>
        </is>
      </c>
      <c r="G864" t="inlineStr">
        <is>
          <t>2025-12-08</t>
        </is>
      </c>
    </row>
    <row r="865" ht="25.5" customHeight="1">
      <c r="A865" t="inlineStr">
        <is>
          <t>暑假给孩子必看的20部央视纪录片，收藏！(1)</t>
        </is>
      </c>
      <c r="B865" s="2" t="str">
        <f>=HYPERLINK("https://pan.quark.cn/s/5f747fc9092a", "https://pan.quark.cn/s/5f747fc9092a")</f>
        <v>https://pan.quark.cn/s/5f747fc9092a</v>
      </c>
      <c r="C865" t="inlineStr">
        <is>
          <t>380G</t>
        </is>
      </c>
      <c r="D865" t="inlineStr">
        <is>
          <t>/暑假/央视纪录片/孩子/教育/宝妈/家长群体/学龄儿童家长</t>
        </is>
      </c>
      <c r="E865" t="inlineStr">
        <is>
          <t>https://dcn8qexvg13r.feishu.cn/share/base/query/shrcnMqxwwRkV3NUIUxPeab3sec</t>
        </is>
      </c>
      <c r="F865" t="inlineStr">
        <is>
          <t>请添加微信：k846211</t>
        </is>
      </c>
      <c r="G865" t="inlineStr">
        <is>
          <t>2025-12-08</t>
        </is>
      </c>
    </row>
    <row r="866" ht="25.5" customHeight="1">
      <c r="A866" t="inlineStr">
        <is>
          <t>暑期适用孩子的精品纪录片大全🔥</t>
        </is>
      </c>
      <c r="B866" s="2" t="str">
        <f>=HYPERLINK("https://pan.quark.cn/s/0bc3fbdc0a7b", "https://pan.quark.cn/s/0bc3fbdc0a7b")</f>
        <v>https://pan.quark.cn/s/0bc3fbdc0a7b</v>
      </c>
      <c r="C866" t="inlineStr">
        <is>
          <t>1</t>
        </is>
      </c>
      <c r="D866" t="inlineStr">
        <is>
          <t>/暑期/孩子/精品/纪录片/宝妈/家长群体/学龄儿童家长</t>
        </is>
      </c>
      <c r="E866" t="inlineStr">
        <is>
          <t>https://dcn8qexvg13r.feishu.cn/share/base/query/shrcnMqxwwRkV3NUIUxPeab3sec</t>
        </is>
      </c>
      <c r="F866" t="inlineStr">
        <is>
          <t>请添加微信：k846211</t>
        </is>
      </c>
      <c r="G866" t="inlineStr">
        <is>
          <t>2025-12-08</t>
        </is>
      </c>
    </row>
    <row r="867" ht="25.5" customHeight="1">
      <c r="A867" t="inlineStr">
        <is>
          <t>生物学科纪录片【15部】</t>
        </is>
      </c>
      <c r="B867" s="2" t="str">
        <f>=HYPERLINK("https://pan.quark.cn/s/135576918723", "https://pan.quark.cn/s/135576918723")</f>
        <v>https://pan.quark.cn/s/135576918723</v>
      </c>
      <c r="C867" t="inlineStr">
        <is>
          <t>404.7G</t>
        </is>
      </c>
      <c r="D867" t="inlineStr">
        <is>
          <t>/生物学科/纪录片/科普教育/K12/大学生</t>
        </is>
      </c>
      <c r="E867" t="inlineStr">
        <is>
          <t>https://dcn8qexvg13r.feishu.cn/share/base/query/shrcnMqxwwRkV3NUIUxPeab3sec</t>
        </is>
      </c>
      <c r="F867" t="inlineStr">
        <is>
          <t>请添加微信：k846211</t>
        </is>
      </c>
      <c r="G867" t="inlineStr">
        <is>
          <t>2025-12-08</t>
        </is>
      </c>
    </row>
    <row r="868" ht="25.5" customHeight="1">
      <c r="A868" t="inlineStr">
        <is>
          <t>数学学科纪录片【18部】</t>
        </is>
      </c>
      <c r="B868" s="2" t="str">
        <f>=HYPERLINK("https://pan.quark.cn/s/a3eb96aeff8d", "https://pan.quark.cn/s/a3eb96aeff8d")</f>
        <v>https://pan.quark.cn/s/a3eb96aeff8d</v>
      </c>
      <c r="C868" t="inlineStr">
        <is>
          <t>101.8G</t>
        </is>
      </c>
      <c r="D868" t="inlineStr">
        <is>
          <t>/数学/纪录片/学科学习/K12/大学生</t>
        </is>
      </c>
      <c r="E868" t="inlineStr">
        <is>
          <t>https://dcn8qexvg13r.feishu.cn/share/base/query/shrcnMqxwwRkV3NUIUxPeab3sec</t>
        </is>
      </c>
      <c r="F868" t="inlineStr">
        <is>
          <t>请添加微信：k846211</t>
        </is>
      </c>
      <c r="G868" t="inlineStr">
        <is>
          <t>2025-12-08</t>
        </is>
      </c>
    </row>
    <row r="869" ht="25.5" customHeight="1">
      <c r="A869" t="inlineStr">
        <is>
          <t>驯龙高手合集【2025最新电影+TV+番外】【1080+4K蓝光原盘REMUX】【杜比视界】【国粤台英四语+导评中字】内封简繁英双语特效字幕[228G]</t>
        </is>
      </c>
      <c r="B869" s="2" t="str">
        <f>=HYPERLINK("https://pan.quark.cn/s/fd7315b8a91f", "https://pan.quark.cn/s/fd7315b8a91f")</f>
        <v>https://pan.quark.cn/s/fd7315b8a91f</v>
      </c>
      <c r="C869" t="inlineStr">
        <is>
          <t>206.4G</t>
        </is>
      </c>
      <c r="D869" t="inlineStr">
        <is>
          <t>/驯龙高手/4K蓝光/杜比视界/多语言/电影</t>
        </is>
      </c>
      <c r="E869" t="inlineStr">
        <is>
          <t>https://dcn8qexvg13r.feishu.cn/share/base/query/shrcnMqxwwRkV3NUIUxPeab3sec</t>
        </is>
      </c>
      <c r="F869" t="inlineStr">
        <is>
          <t>请添加微信：k846211</t>
        </is>
      </c>
      <c r="G869" t="inlineStr">
        <is>
          <t>2025-12-08</t>
        </is>
      </c>
    </row>
    <row r="870" ht="25.5" customHeight="1">
      <c r="A870" t="inlineStr">
        <is>
          <t>央视高分纪录片 舌尖上的中国 1-4季全28集 豆瓣9.4分</t>
        </is>
      </c>
      <c r="B870" s="2" t="str">
        <f>=HYPERLINK("https://pan.quark.cn/s/f32cd8cdc748", "https://pan.quark.cn/s/f32cd8cdc748")</f>
        <v>https://pan.quark.cn/s/f32cd8cdc748</v>
      </c>
      <c r="C870" t="inlineStr">
        <is>
          <t>35.2G</t>
        </is>
      </c>
      <c r="D870" t="inlineStr">
        <is>
          <t>/舌尖上的中国/美食/纪录片/豆瓣高分/纪录片</t>
        </is>
      </c>
      <c r="E870" t="inlineStr">
        <is>
          <t>https://dcn8qexvg13r.feishu.cn/share/base/query/shrcnMqxwwRkV3NUIUxPeab3sec</t>
        </is>
      </c>
      <c r="F870" t="inlineStr">
        <is>
          <t>请添加微信：k846211</t>
        </is>
      </c>
      <c r="G870" t="inlineStr">
        <is>
          <t>2025-12-08</t>
        </is>
      </c>
    </row>
    <row r="871" ht="25.5" customHeight="1">
      <c r="A871" t="inlineStr">
        <is>
          <t>央视力荐儿童纪录片《萌宠成长记》1-3季1080P 英语 中英双字 儿童启蒙佳片 25G</t>
        </is>
      </c>
      <c r="B871" s="2" t="str">
        <f>=HYPERLINK("https://pan.quark.cn/s/77409efecf36", "https://pan.quark.cn/s/77409efecf36")</f>
        <v>https://pan.quark.cn/s/77409efecf36</v>
      </c>
      <c r="C871" t="inlineStr">
        <is>
          <t>24.1G</t>
        </is>
      </c>
      <c r="D871" t="inlineStr">
        <is>
          <t>/萌宠成长记/纪录片/儿童启蒙/宝妈/家长群体/学龄儿童家长</t>
        </is>
      </c>
      <c r="E871" t="inlineStr">
        <is>
          <t>https://dcn8qexvg13r.feishu.cn/share/base/query/shrcnMqxwwRkV3NUIUxPeab3sec</t>
        </is>
      </c>
      <c r="F871" t="inlineStr">
        <is>
          <t>请添加微信：k846211</t>
        </is>
      </c>
      <c r="G871" t="inlineStr">
        <is>
          <t>2025-12-08</t>
        </is>
      </c>
    </row>
    <row r="872" ht="25.5" customHeight="1">
      <c r="A872" t="inlineStr">
        <is>
          <t>艺术学科纪录片【11部】</t>
        </is>
      </c>
      <c r="B872" s="2" t="str">
        <f>=HYPERLINK("https://pan.quark.cn/s/dd52172cffd4", "https://pan.quark.cn/s/dd52172cffd4")</f>
        <v>https://pan.quark.cn/s/dd52172cffd4</v>
      </c>
      <c r="C872" t="inlineStr">
        <is>
          <t>53.7G</t>
        </is>
      </c>
      <c r="D872" t="inlineStr">
        <is>
          <t>/艺术学科/纪录片/核心价值/大学生/特定行业从业者</t>
        </is>
      </c>
      <c r="E872" t="inlineStr">
        <is>
          <t>https://dcn8qexvg13r.feishu.cn/share/base/query/shrcnMqxwwRkV3NUIUxPeab3sec</t>
        </is>
      </c>
      <c r="F872" t="inlineStr">
        <is>
          <t>请添加微信：k846211</t>
        </is>
      </c>
      <c r="G872" t="inlineStr">
        <is>
          <t>2025-12-08</t>
        </is>
      </c>
    </row>
    <row r="873" ht="25.5" customHeight="1">
      <c r="A873" t="inlineStr">
        <is>
          <t>语文学科纪录片【16部】</t>
        </is>
      </c>
      <c r="B873" s="2" t="str">
        <f>=HYPERLINK("https://pan.quark.cn/s/b6ec4d7e6d9f", "https://pan.quark.cn/s/b6ec4d7e6d9f")</f>
        <v>https://pan.quark.cn/s/b6ec4d7e6d9f</v>
      </c>
      <c r="C873" t="inlineStr">
        <is>
          <t>401.6G</t>
        </is>
      </c>
      <c r="D873" t="inlineStr">
        <is>
          <t>/语文/纪录片/学习资源/K12/学龄儿童家长</t>
        </is>
      </c>
      <c r="E873" t="inlineStr">
        <is>
          <t>https://dcn8qexvg13r.feishu.cn/share/base/query/shrcnMqxwwRkV3NUIUxPeab3sec</t>
        </is>
      </c>
      <c r="F873" t="inlineStr">
        <is>
          <t>请添加微信：k846211</t>
        </is>
      </c>
      <c r="G873" t="inlineStr">
        <is>
          <t>2025-12-08</t>
        </is>
      </c>
    </row>
    <row r="874" ht="25.5" customHeight="1">
      <c r="A874" t="inlineStr">
        <is>
          <t>英语学科纪录片【6部】</t>
        </is>
      </c>
      <c r="B874" s="2" t="str">
        <f>=HYPERLINK("https://pan.quark.cn/s/266838e3412d", "https://pan.quark.cn/s/266838e3412d")</f>
        <v>https://pan.quark.cn/s/266838e3412d</v>
      </c>
      <c r="C874" t="inlineStr">
        <is>
          <t>127.6G</t>
        </is>
      </c>
      <c r="D874" t="inlineStr">
        <is>
          <t>/英语/纪录片/英语学习/K12/大学生</t>
        </is>
      </c>
      <c r="E874" t="inlineStr">
        <is>
          <t>https://dcn8qexvg13r.feishu.cn/share/base/query/shrcnMqxwwRkV3NUIUxPeab3sec</t>
        </is>
      </c>
      <c r="F874" t="inlineStr">
        <is>
          <t>请添加微信：k846211</t>
        </is>
      </c>
      <c r="G874" t="inlineStr">
        <is>
          <t>2025-12-08</t>
        </is>
      </c>
    </row>
    <row r="875" ht="25.5" customHeight="1">
      <c r="A875" t="inlineStr">
        <is>
          <t>侏丨罗纪世界：重生（2025）（附侏罗纪系列前6部）</t>
        </is>
      </c>
      <c r="B875" s="2" t="str">
        <f>=HYPERLINK("https://pan.quark.cn/s/e44891db96ea", "https://pan.quark.cn/s/e44891db96ea")</f>
        <v>https://pan.quark.cn/s/e44891db96ea</v>
      </c>
      <c r="C875" t="inlineStr">
        <is>
          <t>112.7G</t>
        </is>
      </c>
      <c r="D875" t="inlineStr">
        <is>
          <t>/侏罗纪/电影系列/科幻/冒险/电影</t>
        </is>
      </c>
      <c r="E875" t="inlineStr">
        <is>
          <t>https://dcn8qexvg13r.feishu.cn/share/base/query/shrcnMqxwwRkV3NUIUxPeab3sec</t>
        </is>
      </c>
      <c r="F875" t="inlineStr">
        <is>
          <t>请添加微信：k846211</t>
        </is>
      </c>
      <c r="G875" t="inlineStr">
        <is>
          <t>2025-12-08</t>
        </is>
      </c>
    </row>
    <row r="876" ht="25.5" customHeight="1">
      <c r="A876" t="inlineStr">
        <is>
          <t>【豆瓣】评分Top20的动画电影</t>
        </is>
      </c>
      <c r="B876" s="2" t="str">
        <f>=HYPERLINK("https://pan.quark.cn/s/531c9ac60f08", "https://pan.quark.cn/s/531c9ac60f08")</f>
        <v>https://pan.quark.cn/s/531c9ac60f08</v>
      </c>
      <c r="C876" t="inlineStr">
        <is>
          <t>72.2G</t>
        </is>
      </c>
      <c r="D876" t="inlineStr">
        <is>
          <t>/动画电影/豆瓣评分/Top20/高分电影/动漫/电影</t>
        </is>
      </c>
      <c r="E876" t="inlineStr">
        <is>
          <t>https://dcn8qexvg13r.feishu.cn/share/base/query/shrcnMqxwwRkV3NUIUxPeab3sec</t>
        </is>
      </c>
      <c r="F876" t="inlineStr">
        <is>
          <t>请添加微信：k846211</t>
        </is>
      </c>
      <c r="G876" t="inlineStr">
        <is>
          <t>2025-12-08</t>
        </is>
      </c>
    </row>
    <row r="877" ht="25.5" customHeight="1">
      <c r="A877" t="inlineStr">
        <is>
          <t>【豆瓣｜10部评分最高大陆剧集】</t>
        </is>
      </c>
      <c r="B877" s="2" t="str">
        <f>=HYPERLINK("https://pan.quark.cn/s/c087f4f17ac7", "https://pan.quark.cn/s/c087f4f17ac7")</f>
        <v>https://pan.quark.cn/s/c087f4f17ac7</v>
      </c>
      <c r="C877" t="inlineStr">
        <is>
          <t>448.9G</t>
        </is>
      </c>
      <c r="D877" t="inlineStr">
        <is>
          <t>/豆瓣/大陆剧集/高评分/剧集</t>
        </is>
      </c>
      <c r="E877" t="inlineStr">
        <is>
          <t>https://dcn8qexvg13r.feishu.cn/share/base/query/shrcnMqxwwRkV3NUIUxPeab3sec</t>
        </is>
      </c>
      <c r="F877" t="inlineStr">
        <is>
          <t>请添加微信：k846211</t>
        </is>
      </c>
      <c r="G877" t="inlineStr">
        <is>
          <t>2025-12-08</t>
        </is>
      </c>
    </row>
    <row r="878" ht="25.5" customHeight="1">
      <c r="A878" t="inlineStr">
        <is>
          <t>【丹泽尔·华盛顿 合集】</t>
        </is>
      </c>
      <c r="B878" s="2" t="str">
        <f>=HYPERLINK("https://pan.quark.cn/s/c2f613d206fb", "https://pan.quark.cn/s/c2f613d206fb")</f>
        <v>https://pan.quark.cn/s/c2f613d206fb</v>
      </c>
      <c r="C878" t="inlineStr">
        <is>
          <t>67.9G</t>
        </is>
      </c>
      <c r="D878" t="inlineStr">
        <is>
          <t>/丹泽尔·华盛顿/演员/影视/电影/电影</t>
        </is>
      </c>
      <c r="E878" t="inlineStr">
        <is>
          <t>https://dcn8qexvg13r.feishu.cn/share/base/query/shrcnMqxwwRkV3NUIUxPeab3sec</t>
        </is>
      </c>
      <c r="F878" t="inlineStr">
        <is>
          <t>请添加微信：k846211</t>
        </is>
      </c>
      <c r="G878" t="inlineStr">
        <is>
          <t>2025-12-08</t>
        </is>
      </c>
    </row>
    <row r="879" ht="25.5" customHeight="1">
      <c r="A879" t="inlineStr">
        <is>
          <t>【科幻】经典科幻电影【20部】</t>
        </is>
      </c>
      <c r="B879" s="2" t="str">
        <f>=HYPERLINK("https://pan.quark.cn/s/7aeacf56e016", "https://pan.quark.cn/s/7aeacf56e016")</f>
        <v>https://pan.quark.cn/s/7aeacf56e016</v>
      </c>
      <c r="C879" t="inlineStr">
        <is>
          <t>65.3G</t>
        </is>
      </c>
      <c r="D879" t="inlineStr">
        <is>
          <t>/科幻/电影/经典/20部/电影</t>
        </is>
      </c>
      <c r="E879" t="inlineStr">
        <is>
          <t>https://dcn8qexvg13r.feishu.cn/share/base/query/shrcnMqxwwRkV3NUIUxPeab3sec</t>
        </is>
      </c>
      <c r="F879" t="inlineStr">
        <is>
          <t>请添加微信：k846211</t>
        </is>
      </c>
      <c r="G879" t="inlineStr">
        <is>
          <t>2025-12-08</t>
        </is>
      </c>
    </row>
    <row r="880" ht="25.5" customHeight="1">
      <c r="A880" t="inlineStr">
        <is>
          <t>【诺兰电影合集】</t>
        </is>
      </c>
      <c r="B880" s="2" t="str">
        <f>=HYPERLINK("https://pan.quark.cn/s/ee9c4fe35f25", "https://pan.quark.cn/s/ee9c4fe35f25")</f>
        <v>https://pan.quark.cn/s/ee9c4fe35f25</v>
      </c>
      <c r="C880" t="inlineStr">
        <is>
          <t>143.1G</t>
        </is>
      </c>
      <c r="D880" t="inlineStr">
        <is>
          <t>/诺兰/电影/导演作品/剧情片/电影</t>
        </is>
      </c>
      <c r="E880" t="inlineStr">
        <is>
          <t>https://dcn8qexvg13r.feishu.cn/share/base/query/shrcnMqxwwRkV3NUIUxPeab3sec</t>
        </is>
      </c>
      <c r="F880" t="inlineStr">
        <is>
          <t>请添加微信：k846211</t>
        </is>
      </c>
      <c r="G880" t="inlineStr">
        <is>
          <t>2025-12-08</t>
        </is>
      </c>
    </row>
    <row r="881" ht="25.5" customHeight="1">
      <c r="A881" t="inlineStr">
        <is>
          <t>【最佳纪录长片】灵魂乐之夏</t>
        </is>
      </c>
      <c r="B881" s="2" t="str">
        <f>=HYPERLINK("https://pan.quark.cn/s/363bb6c8fda5", "https://pan.quark.cn/s/363bb6c8fda5")</f>
        <v>https://pan.quark.cn/s/363bb6c8fda5</v>
      </c>
      <c r="C881" t="inlineStr">
        <is>
          <t>3.7G</t>
        </is>
      </c>
      <c r="D881" t="inlineStr">
        <is>
          <t>/灵魂乐/音乐历史/纪录片/音乐文化/音乐迷/纪录片</t>
        </is>
      </c>
      <c r="E881" t="inlineStr">
        <is>
          <t>https://dcn8qexvg13r.feishu.cn/share/base/query/shrcnMqxwwRkV3NUIUxPeab3sec</t>
        </is>
      </c>
      <c r="F881" t="inlineStr">
        <is>
          <t>请添加微信：k846211</t>
        </is>
      </c>
      <c r="G881" t="inlineStr">
        <is>
          <t>2025-12-08</t>
        </is>
      </c>
    </row>
    <row r="882" ht="25.5" customHeight="1">
      <c r="A882" t="inlineStr">
        <is>
          <t>🎁【家长应该陪孩子看的100部纪录片】555GB</t>
        </is>
      </c>
      <c r="B882" s="2" t="str">
        <f>=HYPERLINK("https://pan.quark.cn/s/567c6e290e08", "https://pan.quark.cn/s/567c6e290e08")</f>
        <v>https://pan.quark.cn/s/567c6e290e08</v>
      </c>
      <c r="C882" t="inlineStr">
        <is>
          <t>547.3G</t>
        </is>
      </c>
      <c r="D882" t="inlineStr">
        <is>
          <t>/家长陪伴/纪录片/育儿/儿童教育/宝妈/家长群体/学龄儿童家长</t>
        </is>
      </c>
      <c r="E882" t="inlineStr">
        <is>
          <t>https://dcn8qexvg13r.feishu.cn/share/base/query/shrcnMqxwwRkV3NUIUxPeab3sec</t>
        </is>
      </c>
      <c r="F882" t="inlineStr">
        <is>
          <t>请添加微信：k846211</t>
        </is>
      </c>
      <c r="G882" t="inlineStr">
        <is>
          <t>2025-12-08</t>
        </is>
      </c>
    </row>
    <row r="883" ht="25.5" customHeight="1">
      <c r="A883" t="inlineStr">
        <is>
          <t>033.【瓶盖老师初中语文合集】</t>
        </is>
      </c>
      <c r="B883" s="2" t="str">
        <f>=HYPERLINK("https://pan.quark.cn/s/2edcc3041793", "https://pan.quark.cn/s/2edcc3041793")</f>
        <v>https://pan.quark.cn/s/2edcc3041793</v>
      </c>
      <c r="C883" t="inlineStr">
        <is>
          <t>23.3G</t>
        </is>
      </c>
      <c r="D883" t="inlineStr">
        <is>
          <t>/初中语文/瓶盖老师/教学/学习/K12/学龄儿童家长</t>
        </is>
      </c>
      <c r="E883" t="inlineStr">
        <is>
          <t>https://dcn8qexvg13r.feishu.cn/share/base/query/shrcnMqxwwRkV3NUIUxPeab3sec</t>
        </is>
      </c>
      <c r="F883" t="inlineStr">
        <is>
          <t>请添加微信：k846211</t>
        </is>
      </c>
      <c r="G883" t="inlineStr">
        <is>
          <t>2025-12-08</t>
        </is>
      </c>
    </row>
    <row r="884" ht="25.5" customHeight="1">
      <c r="A884" t="inlineStr">
        <is>
          <t>戴老师【语文无非如此】初中语文</t>
        </is>
      </c>
      <c r="B884" s="2" t="str">
        <f>=HYPERLINK("https://pan.quark.cn/s/d2fe9433a0c0", "https://pan.quark.cn/s/d2fe9433a0c0")</f>
        <v>https://pan.quark.cn/s/d2fe9433a0c0</v>
      </c>
      <c r="C884" t="inlineStr">
        <is>
          <t>37.1G</t>
        </is>
      </c>
      <c r="D884" t="inlineStr">
        <is>
          <t>/初中语文/戴老师/语文学习/应试技巧/K12/学龄儿童家长</t>
        </is>
      </c>
      <c r="E884" t="inlineStr">
        <is>
          <t>https://dcn8qexvg13r.feishu.cn/share/base/query/shrcnMqxwwRkV3NUIUxPeab3sec</t>
        </is>
      </c>
      <c r="F884" t="inlineStr">
        <is>
          <t>请添加微信：k846211</t>
        </is>
      </c>
      <c r="G884" t="inlineStr">
        <is>
          <t>2025-12-08</t>
        </is>
      </c>
    </row>
    <row r="885" ht="25.5" customHeight="1">
      <c r="A885" t="inlineStr">
        <is>
          <t>贞贞老师初中语文课程</t>
        </is>
      </c>
      <c r="B885" s="2" t="str">
        <f>=HYPERLINK("https://pan.quark.cn/s/47bed1f3f08e", "https://pan.quark.cn/s/47bed1f3f08e")</f>
        <v>https://pan.quark.cn/s/47bed1f3f08e</v>
      </c>
      <c r="C885" t="inlineStr">
        <is>
          <t>2.2G</t>
        </is>
      </c>
      <c r="D885" t="inlineStr">
        <is>
          <t>/初中语文/课程/语文学习/K12/学龄儿童家长</t>
        </is>
      </c>
      <c r="E885" t="inlineStr">
        <is>
          <t>https://dcn8qexvg13r.feishu.cn/share/base/query/shrcnMqxwwRkV3NUIUxPeab3sec</t>
        </is>
      </c>
      <c r="F885" t="inlineStr">
        <is>
          <t>请添加微信：k846211</t>
        </is>
      </c>
      <c r="G885" t="inlineStr">
        <is>
          <t>2025-12-08</t>
        </is>
      </c>
    </row>
    <row r="886" ht="25.5" customHeight="1">
      <c r="A886" t="inlineStr">
        <is>
          <t>25秋最新热门小学初中全科精品学习资源合集（416G）</t>
        </is>
      </c>
      <c r="B886" s="2" t="str">
        <f>=HYPERLINK("https://pan.quark.cn/s/8f4715ebd515", "https://pan.quark.cn/s/8f4715ebd515")</f>
        <v>https://pan.quark.cn/s/8f4715ebd515</v>
      </c>
      <c r="C886" t="inlineStr">
        <is>
          <t>415.4G</t>
        </is>
      </c>
      <c r="D886" t="inlineStr">
        <is>
          <t>/小学初中全科/精品学习资源/25秋热门/416G大容量/K12/学龄儿童家长</t>
        </is>
      </c>
      <c r="E886" t="inlineStr">
        <is>
          <t>https://dcn8qexvg13r.feishu.cn/share/base/query/shrcnMqxwwRkV3NUIUxPeab3sec</t>
        </is>
      </c>
      <c r="F886" t="inlineStr">
        <is>
          <t>请添加微信：k846211</t>
        </is>
      </c>
      <c r="G886" t="inlineStr">
        <is>
          <t>2025-12-08</t>
        </is>
      </c>
    </row>
    <row r="887" ht="25.5" customHeight="1">
      <c r="A887" t="inlineStr">
        <is>
          <t>04.赵观察初中物理人教版</t>
        </is>
      </c>
      <c r="B887" s="2" t="str">
        <f>=HYPERLINK("https://pan.quark.cn/s/51b0be1cb967", "https://pan.quark.cn/s/51b0be1cb967")</f>
        <v>https://pan.quark.cn/s/51b0be1cb967</v>
      </c>
      <c r="C887" t="inlineStr">
        <is>
          <t>45.5G</t>
        </is>
      </c>
      <c r="D887" t="inlineStr">
        <is>
          <t>初中物理/人教版/赵观察/教学资源/K12/学龄儿童家长</t>
        </is>
      </c>
      <c r="E887" t="inlineStr">
        <is>
          <t>https://dcn8qexvg13r.feishu.cn/share/base/query/shrcnMqxwwRkV3NUIUxPeab3sec</t>
        </is>
      </c>
      <c r="F887" t="inlineStr">
        <is>
          <t>请添加微信：k846211</t>
        </is>
      </c>
      <c r="G887" t="inlineStr">
        <is>
          <t>2025-12-08</t>
        </is>
      </c>
    </row>
    <row r="888" ht="25.5" customHeight="1">
      <c r="A888" t="inlineStr">
        <is>
          <t>24新版霍娜老师：新概念1+2+自然拼读</t>
        </is>
      </c>
      <c r="B888" s="2" t="str">
        <f>=HYPERLINK("https://pan.quark.cn/s/8ba206334919", "https://pan.quark.cn/s/8ba206334919")</f>
        <v>https://pan.quark.cn/s/8ba206334919</v>
      </c>
      <c r="C888" t="inlineStr">
        <is>
          <t>53.1G</t>
        </is>
      </c>
      <c r="D888" t="inlineStr">
        <is>
          <t>/新概念英语/自然拼读/霍娜老师/英语学习/K12/学龄儿童家长</t>
        </is>
      </c>
      <c r="E888" t="inlineStr">
        <is>
          <t>https://dcn8qexvg13r.feishu.cn/share/base/query/shrcnMqxwwRkV3NUIUxPeab3sec</t>
        </is>
      </c>
      <c r="F888" t="inlineStr">
        <is>
          <t>请添加微信：k846211</t>
        </is>
      </c>
      <c r="G888" t="inlineStr">
        <is>
          <t>2025-12-08</t>
        </is>
      </c>
    </row>
    <row r="889" ht="25.5" customHeight="1">
      <c r="A889" t="inlineStr">
        <is>
          <t>230节，新概念1英语全能课_英语十七老师</t>
        </is>
      </c>
      <c r="B889" s="2" t="str">
        <f>=HYPERLINK("https://pan.quark.cn/s/6684f36fa78c", "https://pan.quark.cn/s/6684f36fa78c")</f>
        <v>https://pan.quark.cn/s/6684f36fa78c</v>
      </c>
      <c r="C889" t="inlineStr">
        <is>
          <t>14.5G</t>
        </is>
      </c>
      <c r="D889" t="inlineStr">
        <is>
          <t>/新概念1/英语全能课/英语十七老师/语言/技能入门/K12/大学生</t>
        </is>
      </c>
      <c r="E889" t="inlineStr">
        <is>
          <t>https://dcn8qexvg13r.feishu.cn/share/base/query/shrcnMqxwwRkV3NUIUxPeab3sec</t>
        </is>
      </c>
      <c r="F889" t="inlineStr">
        <is>
          <t>请添加微信：k846211</t>
        </is>
      </c>
      <c r="G889" t="inlineStr">
        <is>
          <t>2025-12-08</t>
        </is>
      </c>
    </row>
    <row r="890" ht="25.5" customHeight="1">
      <c r="A890" t="inlineStr">
        <is>
          <t>2024胡小群数学思维课程合集</t>
        </is>
      </c>
      <c r="B890" s="2" t="str">
        <f>=HYPERLINK("https://pan.quark.cn/s/430a41e9b977", "https://pan.quark.cn/s/430a41e9b977")</f>
        <v>https://pan.quark.cn/s/430a41e9b977</v>
      </c>
      <c r="C890" t="inlineStr">
        <is>
          <t>87.2G</t>
        </is>
      </c>
      <c r="D890" t="inlineStr">
        <is>
          <t>/数学思维/课程/K12/学龄儿童家长</t>
        </is>
      </c>
      <c r="E890" t="inlineStr">
        <is>
          <t>https://dcn8qexvg13r.feishu.cn/share/base/query/shrcnMqxwwRkV3NUIUxPeab3sec</t>
        </is>
      </c>
      <c r="F890" t="inlineStr">
        <is>
          <t>请添加微信：k846211</t>
        </is>
      </c>
      <c r="G890" t="inlineStr">
        <is>
          <t>2025-12-08</t>
        </is>
      </c>
    </row>
    <row r="891" ht="25.5" customHeight="1">
      <c r="A891" t="inlineStr">
        <is>
          <t>AJ老师英语课程合集 让孩子们捧腹大笑的AJ老师授课，没有孩子不爱上</t>
        </is>
      </c>
      <c r="B891" s="2" t="str">
        <f>=HYPERLINK("https://pan.quark.cn/s/610454201552", "https://pan.quark.cn/s/610454201552")</f>
        <v>https://pan.quark.cn/s/610454201552</v>
      </c>
      <c r="C891" t="inlineStr">
        <is>
          <t>73.4G</t>
        </is>
      </c>
      <c r="D891" t="inlineStr">
        <is>
          <t>/英语课程/儿童/幽默教学/K12/学龄儿童家长</t>
        </is>
      </c>
      <c r="E891" t="inlineStr">
        <is>
          <t>https://dcn8qexvg13r.feishu.cn/share/base/query/shrcnMqxwwRkV3NUIUxPeab3sec</t>
        </is>
      </c>
      <c r="F891" t="inlineStr">
        <is>
          <t>请添加微信：k846211</t>
        </is>
      </c>
      <c r="G891" t="inlineStr">
        <is>
          <t>2025-12-08</t>
        </is>
      </c>
    </row>
    <row r="892" ht="25.5" customHeight="1">
      <c r="A892" t="inlineStr">
        <is>
          <t>北大木兰学霸思维满分数学通用版（教材+视频讲解）</t>
        </is>
      </c>
      <c r="B892" s="2" t="str">
        <f>=HYPERLINK("https://pan.quark.cn/s/4343bcdcaf45", "https://pan.quark.cn/s/4343bcdcaf45")</f>
        <v>https://pan.quark.cn/s/4343bcdcaf45</v>
      </c>
      <c r="C892" t="inlineStr">
        <is>
          <t>25.8G</t>
        </is>
      </c>
      <c r="D892" t="inlineStr">
        <is>
          <t>/数学/学霸思维/教材/视频讲解/K12/学龄儿童家长</t>
        </is>
      </c>
      <c r="E892" t="inlineStr">
        <is>
          <t>https://dcn8qexvg13r.feishu.cn/share/base/query/shrcnMqxwwRkV3NUIUxPeab3sec</t>
        </is>
      </c>
      <c r="F892" t="inlineStr">
        <is>
          <t>请添加微信：k846211</t>
        </is>
      </c>
      <c r="G892" t="inlineStr">
        <is>
          <t>2025-12-08</t>
        </is>
      </c>
    </row>
    <row r="893" ht="25.5" customHeight="1">
      <c r="A893" t="inlineStr">
        <is>
          <t>包君成语文最新课程合集 (77G)</t>
        </is>
      </c>
      <c r="B893" s="2" t="str">
        <f>=HYPERLINK("https://pan.quark.cn/s/62380f72a68b", "https://pan.quark.cn/s/62380f72a68b")</f>
        <v>https://pan.quark.cn/s/62380f72a68b</v>
      </c>
      <c r="C893" t="inlineStr">
        <is>
          <t>76.3G</t>
        </is>
      </c>
      <c r="D893" t="inlineStr">
        <is>
          <t>/包君成/语文/课程/K12/学龄儿童家长</t>
        </is>
      </c>
      <c r="E893" t="inlineStr">
        <is>
          <t>https://dcn8qexvg13r.feishu.cn/share/base/query/shrcnMqxwwRkV3NUIUxPeab3sec</t>
        </is>
      </c>
      <c r="F893" t="inlineStr">
        <is>
          <t>请添加微信：k846211</t>
        </is>
      </c>
      <c r="G893" t="inlineStr">
        <is>
          <t>2025-12-08</t>
        </is>
      </c>
    </row>
    <row r="894" ht="25.5" customHeight="1">
      <c r="A894" t="inlineStr">
        <is>
          <t>初中老封几何(1)</t>
        </is>
      </c>
      <c r="B894" s="2" t="str">
        <f>=HYPERLINK("https://pan.quark.cn/s/7a8537c1ef25", "https://pan.quark.cn/s/7a8537c1ef25")</f>
        <v>https://pan.quark.cn/s/7a8537c1ef25</v>
      </c>
      <c r="C894" t="inlineStr">
        <is>
          <t>50.3G</t>
        </is>
      </c>
      <c r="D894" t="inlineStr">
        <is>
          <t>/初中几何/几何学习/数学辅导/K12/学龄儿童家长</t>
        </is>
      </c>
      <c r="E894" t="inlineStr">
        <is>
          <t>https://dcn8qexvg13r.feishu.cn/share/base/query/shrcnMqxwwRkV3NUIUxPeab3sec</t>
        </is>
      </c>
      <c r="F894" t="inlineStr">
        <is>
          <t>请添加微信：k846211</t>
        </is>
      </c>
      <c r="G894" t="inlineStr">
        <is>
          <t>2025-12-08</t>
        </is>
      </c>
    </row>
    <row r="895" ht="25.5" customHeight="1">
      <c r="A895" t="inlineStr">
        <is>
          <t>大海初中数学课程合集</t>
        </is>
      </c>
      <c r="B895" s="2" t="str">
        <f>=HYPERLINK("https://pan.quark.cn/s/cabac327cf16", "https://pan.quark.cn/s/cabac327cf16")</f>
        <v>https://pan.quark.cn/s/cabac327cf16</v>
      </c>
      <c r="C895" t="inlineStr">
        <is>
          <t>47.2G</t>
        </is>
      </c>
      <c r="D895" t="inlineStr">
        <is>
          <t>/初中数学/课程/数学学习/K12/学龄儿童家长</t>
        </is>
      </c>
      <c r="E895" t="inlineStr">
        <is>
          <t>https://dcn8qexvg13r.feishu.cn/share/base/query/shrcnMqxwwRkV3NUIUxPeab3sec</t>
        </is>
      </c>
      <c r="F895" t="inlineStr">
        <is>
          <t>请添加微信：k846211</t>
        </is>
      </c>
      <c r="G895" t="inlineStr">
        <is>
          <t>2025-12-08</t>
        </is>
      </c>
    </row>
    <row r="896" ht="25.5" customHeight="1">
      <c r="A896" t="inlineStr">
        <is>
          <t>抖音爆火的文老师语文课程合集（学习方法 基础知识 小古文  文学素养 阅读 作文 ）</t>
        </is>
      </c>
      <c r="B896" s="2" t="str">
        <f>=HYPERLINK("https://pan.quark.cn/s/f1b983a25eae", "https://pan.quark.cn/s/f1b983a25eae")</f>
        <v>https://pan.quark.cn/s/f1b983a25eae</v>
      </c>
      <c r="C896" t="inlineStr">
        <is>
          <t>298.9G</t>
        </is>
      </c>
      <c r="D896" t="inlineStr">
        <is>
          <t>/语文课程/学习方法/基础知识/小古文/阅读作文/K12/学龄儿童家长</t>
        </is>
      </c>
      <c r="E896" t="inlineStr">
        <is>
          <t>https://dcn8qexvg13r.feishu.cn/share/base/query/shrcnMqxwwRkV3NUIUxPeab3sec</t>
        </is>
      </c>
      <c r="F896" t="inlineStr">
        <is>
          <t>请添加微信：k846211</t>
        </is>
      </c>
      <c r="G896" t="inlineStr">
        <is>
          <t>2025-12-08</t>
        </is>
      </c>
    </row>
    <row r="897" ht="25.5" customHeight="1">
      <c r="A897" t="inlineStr">
        <is>
          <t>分之道 初中语数英+小四门 视频课程</t>
        </is>
      </c>
      <c r="B897" s="2" t="str">
        <f>=HYPERLINK("https://pan.quark.cn/s/ba4894cfb3c4", "https://pan.quark.cn/s/ba4894cfb3c4")</f>
        <v>https://pan.quark.cn/s/ba4894cfb3c4</v>
      </c>
      <c r="C897" t="inlineStr">
        <is>
          <t>33.3G</t>
        </is>
      </c>
      <c r="D897" t="inlineStr">
        <is>
          <t>/初中语数英/小四门/视频课程/学习辅导/K12/学龄儿童家长</t>
        </is>
      </c>
      <c r="E897" t="inlineStr">
        <is>
          <t>https://dcn8qexvg13r.feishu.cn/share/base/query/shrcnMqxwwRkV3NUIUxPeab3sec</t>
        </is>
      </c>
      <c r="F897" t="inlineStr">
        <is>
          <t>请添加微信：k846211</t>
        </is>
      </c>
      <c r="G897" t="inlineStr">
        <is>
          <t>2025-12-08</t>
        </is>
      </c>
    </row>
    <row r="898" ht="25.5" customHeight="1">
      <c r="A898" t="inlineStr">
        <is>
          <t>黄东坡初中资料合集</t>
        </is>
      </c>
      <c r="B898" s="2" t="str">
        <f>=HYPERLINK("https://pan.quark.cn/s/d33cc5afd902", "https://pan.quark.cn/s/d33cc5afd902")</f>
        <v>https://pan.quark.cn/s/d33cc5afd902</v>
      </c>
      <c r="C898" t="inlineStr">
        <is>
          <t>8.2G</t>
        </is>
      </c>
      <c r="D898" t="inlineStr">
        <is>
          <t>/黄东坡/初中/学习辅导/教辅/K12/学龄儿童家长</t>
        </is>
      </c>
      <c r="E898" t="inlineStr">
        <is>
          <t>https://dcn8qexvg13r.feishu.cn/share/base/query/shrcnMqxwwRkV3NUIUxPeab3sec</t>
        </is>
      </c>
      <c r="F898" t="inlineStr">
        <is>
          <t>请添加微信：k846211</t>
        </is>
      </c>
      <c r="G898" t="inlineStr">
        <is>
          <t>2025-12-08</t>
        </is>
      </c>
    </row>
    <row r="899" ht="25.5" customHeight="1">
      <c r="A899" t="inlineStr">
        <is>
          <t>叫叫阅读（L1-L7)25年最新合集</t>
        </is>
      </c>
      <c r="B899" s="2" t="str">
        <f>=HYPERLINK("https://pan.quark.cn/s/09de6f66e202", "https://pan.quark.cn/s/09de6f66e202")</f>
        <v>https://pan.quark.cn/s/09de6f66e202</v>
      </c>
      <c r="C899" t="inlineStr">
        <is>
          <t>78.6G</t>
        </is>
      </c>
      <c r="D899" t="inlineStr">
        <is>
          <t>/叫叫阅读/L1-L7/25年最新/阅读学习/K12/学龄儿童家长</t>
        </is>
      </c>
      <c r="E899" t="inlineStr">
        <is>
          <t>https://dcn8qexvg13r.feishu.cn/share/base/query/shrcnMqxwwRkV3NUIUxPeab3sec</t>
        </is>
      </c>
      <c r="F899" t="inlineStr">
        <is>
          <t>请添加微信：k846211</t>
        </is>
      </c>
      <c r="G899" t="inlineStr">
        <is>
          <t>2025-12-08</t>
        </is>
      </c>
    </row>
    <row r="900" ht="25.5" customHeight="1">
      <c r="A900" t="inlineStr">
        <is>
          <t>鲸鱼说英语 鲸鱼老师英语幼小初高课程合集(85G)</t>
        </is>
      </c>
      <c r="B900" s="2" t="str">
        <f>=HYPERLINK("https://pan.quark.cn/s/94edda6d43ed", "https://pan.quark.cn/s/94edda6d43ed")</f>
        <v>https://pan.quark.cn/s/94edda6d43ed</v>
      </c>
      <c r="C900" t="inlineStr">
        <is>
          <t>84.9G</t>
        </is>
      </c>
      <c r="D900" t="inlineStr">
        <is>
          <t>/鲸鱼说英语/英语课程/幼小初高/K12/宝妈/家长群体/学龄儿童家长</t>
        </is>
      </c>
      <c r="E900" t="inlineStr">
        <is>
          <t>https://dcn8qexvg13r.feishu.cn/share/base/query/shrcnMqxwwRkV3NUIUxPeab3sec</t>
        </is>
      </c>
      <c r="F900" t="inlineStr">
        <is>
          <t>请添加微信：k846211</t>
        </is>
      </c>
      <c r="G900" t="inlineStr">
        <is>
          <t>2025-12-08</t>
        </is>
      </c>
    </row>
    <row r="901" ht="25.5" customHeight="1">
      <c r="A901" t="inlineStr">
        <is>
          <t>老封几何提高班(1)</t>
        </is>
      </c>
      <c r="B901" s="2" t="str">
        <f>=HYPERLINK("https://pan.quark.cn/s/67e0e98470c6", "https://pan.quark.cn/s/67e0e98470c6")</f>
        <v>https://pan.quark.cn/s/67e0e98470c6</v>
      </c>
      <c r="C901" t="inlineStr">
        <is>
          <t>5.8G</t>
        </is>
      </c>
      <c r="D901" t="inlineStr">
        <is>
          <t>/几何/提高班/数学/K12/学龄儿童家长</t>
        </is>
      </c>
      <c r="E901" t="inlineStr">
        <is>
          <t>https://dcn8qexvg13r.feishu.cn/share/base/query/shrcnMqxwwRkV3NUIUxPeab3sec</t>
        </is>
      </c>
      <c r="F901" t="inlineStr">
        <is>
          <t>请添加微信：k846211</t>
        </is>
      </c>
      <c r="G901" t="inlineStr">
        <is>
          <t>2025-12-08</t>
        </is>
      </c>
    </row>
    <row r="902" ht="25.5" customHeight="1">
      <c r="A902" t="inlineStr">
        <is>
          <t>罗一鹏 趣味英语 语法课</t>
        </is>
      </c>
      <c r="B902" s="2" t="str">
        <f>=HYPERLINK("https://pan.quark.cn/s/623c381425ff", "https://pan.quark.cn/s/623c381425ff")</f>
        <v>https://pan.quark.cn/s/623c381425ff</v>
      </c>
      <c r="C902" t="inlineStr">
        <is>
          <t>448M</t>
        </is>
      </c>
      <c r="D902" t="inlineStr">
        <is>
          <t>/趣味英语/语法/课程/K12/语言</t>
        </is>
      </c>
      <c r="E902" t="inlineStr">
        <is>
          <t>https://dcn8qexvg13r.feishu.cn/share/base/query/shrcnMqxwwRkV3NUIUxPeab3sec</t>
        </is>
      </c>
      <c r="F902" t="inlineStr">
        <is>
          <t>请添加微信：k846211</t>
        </is>
      </c>
      <c r="G902" t="inlineStr">
        <is>
          <t>2025-12-08</t>
        </is>
      </c>
    </row>
    <row r="903" ht="25.5" customHeight="1">
      <c r="A903" t="inlineStr">
        <is>
          <t>刘育涛根源数学思维（294G）</t>
        </is>
      </c>
      <c r="B903" s="2" t="str">
        <f>=HYPERLINK("https://pan.quark.cn/s/10ba7b2122a2", "https://pan.quark.cn/s/10ba7b2122a2")</f>
        <v>https://pan.quark.cn/s/10ba7b2122a2</v>
      </c>
      <c r="C903" t="inlineStr">
        <is>
          <t>295G</t>
        </is>
      </c>
      <c r="D903" t="inlineStr">
        <is>
          <t>/数学思维/刘育涛/根源数学/K12/学龄儿童家长</t>
        </is>
      </c>
      <c r="E903" t="inlineStr">
        <is>
          <t>https://dcn8qexvg13r.feishu.cn/share/base/query/shrcnMqxwwRkV3NUIUxPeab3sec</t>
        </is>
      </c>
      <c r="F903" t="inlineStr">
        <is>
          <t>请添加微信：k846211</t>
        </is>
      </c>
      <c r="G903" t="inlineStr">
        <is>
          <t>2025-12-08</t>
        </is>
      </c>
    </row>
    <row r="904" ht="25.5" customHeight="1">
      <c r="A904" t="inlineStr">
        <is>
          <t>猫博士袁坚老师阅读写作资源合集</t>
        </is>
      </c>
      <c r="B904" s="2" t="str">
        <f>=HYPERLINK("https://pan.quark.cn/s/eefcff59b6ef", "https://pan.quark.cn/s/eefcff59b6ef")</f>
        <v>https://pan.quark.cn/s/eefcff59b6ef</v>
      </c>
      <c r="C904" t="inlineStr">
        <is>
          <t>48.5G</t>
        </is>
      </c>
      <c r="D904" t="inlineStr">
        <is>
          <t>/阅读写作/袁坚/猫博士/学习指导/K12/宝妈/家长群体</t>
        </is>
      </c>
      <c r="E904" t="inlineStr">
        <is>
          <t>https://dcn8qexvg13r.feishu.cn/share/base/query/shrcnMqxwwRkV3NUIUxPeab3sec</t>
        </is>
      </c>
      <c r="F904" t="inlineStr">
        <is>
          <t>请添加微信：k846211</t>
        </is>
      </c>
      <c r="G904" t="inlineStr">
        <is>
          <t>2025-12-08</t>
        </is>
      </c>
    </row>
    <row r="905" ht="25.5" customHeight="1">
      <c r="A905" t="inlineStr">
        <is>
          <t>茉莉老师《国家地理 Reach Higher 精讲课 (G1-G6) 》</t>
        </is>
      </c>
      <c r="B905" s="2" t="str">
        <f>=HYPERLINK("https://pan.quark.cn/s/d463853265fa", "https://pan.quark.cn/s/d463853265fa")</f>
        <v>https://pan.quark.cn/s/d463853265fa</v>
      </c>
      <c r="C905" t="inlineStr">
        <is>
          <t>44.3G</t>
        </is>
      </c>
      <c r="D905" t="inlineStr">
        <is>
          <t>/国家地理/Reach Higher/精讲课/G1-G6/K12/学龄儿童家长</t>
        </is>
      </c>
      <c r="E905" t="inlineStr">
        <is>
          <t>https://dcn8qexvg13r.feishu.cn/share/base/query/shrcnMqxwwRkV3NUIUxPeab3sec</t>
        </is>
      </c>
      <c r="F905" t="inlineStr">
        <is>
          <t>请添加微信：k846211</t>
        </is>
      </c>
      <c r="G905" t="inlineStr">
        <is>
          <t>2025-12-08</t>
        </is>
      </c>
    </row>
    <row r="906" ht="25.5" customHeight="1">
      <c r="A906" t="inlineStr">
        <is>
          <t>茉莉老师【完结】Oxford Phonics World 牛津自然拼读世界茉莉老师配套课程【5个级别169节 视频课】</t>
        </is>
      </c>
      <c r="B906" s="2" t="str">
        <f>=HYPERLINK("https://pan.quark.cn/s/f250a86dcb9b", "https://pan.quark.cn/s/f250a86dcb9b")</f>
        <v>https://pan.quark.cn/s/f250a86dcb9b</v>
      </c>
      <c r="C906" t="inlineStr">
        <is>
          <t>8.3G</t>
        </is>
      </c>
      <c r="D906" t="inlineStr">
        <is>
          <t>/牛津自然拼读/视频课/5个级别/茉莉老师/学龄儿童家长/语言</t>
        </is>
      </c>
      <c r="E906" t="inlineStr">
        <is>
          <t>https://dcn8qexvg13r.feishu.cn/share/base/query/shrcnMqxwwRkV3NUIUxPeab3sec</t>
        </is>
      </c>
      <c r="F906" t="inlineStr">
        <is>
          <t>请添加微信：k846211</t>
        </is>
      </c>
      <c r="G906" t="inlineStr">
        <is>
          <t>2025-12-08</t>
        </is>
      </c>
    </row>
    <row r="907" ht="25.5" customHeight="1">
      <c r="A907" t="inlineStr">
        <is>
          <t>名师邵鑫语文课程大合集（243G）</t>
        </is>
      </c>
      <c r="B907" s="2" t="str">
        <f>=HYPERLINK("https://pan.quark.cn/s/dde420f1acbd", "https://pan.quark.cn/s/dde420f1acbd")</f>
        <v>https://pan.quark.cn/s/dde420f1acbd</v>
      </c>
      <c r="C907" t="inlineStr">
        <is>
          <t>243.3G</t>
        </is>
      </c>
      <c r="D907" t="inlineStr">
        <is>
          <t>/语文/名师课程/邵鑫/K12/学龄儿童家长</t>
        </is>
      </c>
      <c r="E907" t="inlineStr">
        <is>
          <t>https://dcn8qexvg13r.feishu.cn/share/base/query/shrcnMqxwwRkV3NUIUxPeab3sec</t>
        </is>
      </c>
      <c r="F907" t="inlineStr">
        <is>
          <t>请添加微信：k846211</t>
        </is>
      </c>
      <c r="G907" t="inlineStr">
        <is>
          <t>2025-12-08</t>
        </is>
      </c>
    </row>
    <row r="908" ht="25.5" customHeight="1">
      <c r="A908" t="inlineStr">
        <is>
          <t>平行线 奥数思维（深奥）视频课程</t>
        </is>
      </c>
      <c r="B908" s="2" t="str">
        <f>=HYPERLINK("https://pan.quark.cn/s/f14d2ebfea20", "https://pan.quark.cn/s/f14d2ebfea20")</f>
        <v>https://pan.quark.cn/s/f14d2ebfea20</v>
      </c>
      <c r="C908" t="inlineStr">
        <is>
          <t>17.6G</t>
        </is>
      </c>
      <c r="D908" t="inlineStr">
        <is>
          <t>/平行线/奥数思维/深奥/视频课程/K12/学龄儿童家长</t>
        </is>
      </c>
      <c r="E908" t="inlineStr">
        <is>
          <t>https://dcn8qexvg13r.feishu.cn/share/base/query/shrcnMqxwwRkV3NUIUxPeab3sec</t>
        </is>
      </c>
      <c r="F908" t="inlineStr">
        <is>
          <t>请添加微信：k846211</t>
        </is>
      </c>
      <c r="G908" t="inlineStr">
        <is>
          <t>2025-12-08</t>
        </is>
      </c>
    </row>
    <row r="909" ht="25.5" customHeight="1">
      <c r="A909" t="inlineStr">
        <is>
          <t>平行线【名师到家】1-6年级视频课程</t>
        </is>
      </c>
      <c r="B909" s="2" t="str">
        <f>=HYPERLINK("https://pan.quark.cn/s/b40057c0ab67", "https://pan.quark.cn/s/b40057c0ab67")</f>
        <v>https://pan.quark.cn/s/b40057c0ab67</v>
      </c>
      <c r="C909" t="inlineStr">
        <is>
          <t>23.8G</t>
        </is>
      </c>
      <c r="D909" t="inlineStr">
        <is>
          <t>/平行线/名师到家/1-6年级/视频课程/K12/学龄儿童家长</t>
        </is>
      </c>
      <c r="E909" t="inlineStr">
        <is>
          <t>https://dcn8qexvg13r.feishu.cn/share/base/query/shrcnMqxwwRkV3NUIUxPeab3sec</t>
        </is>
      </c>
      <c r="F909" t="inlineStr">
        <is>
          <t>请添加微信：k846211</t>
        </is>
      </c>
      <c r="G909" t="inlineStr">
        <is>
          <t>2025-12-08</t>
        </is>
      </c>
    </row>
    <row r="910" ht="25.5" customHeight="1">
      <c r="A910" t="inlineStr">
        <is>
          <t>【26】约读书房1-7级别所有的视频课件pdf全套经典好书让孩子爱上阅读</t>
        </is>
      </c>
      <c r="B910" s="2" t="str">
        <f>=HYPERLINK("https://pan.quark.cn/s/fe68b8730c0e", "https://pan.quark.cn/s/fe68b8730c0e")</f>
        <v>https://pan.quark.cn/s/fe68b8730c0e</v>
      </c>
      <c r="C910" t="inlineStr">
        <is>
          <t>2.2</t>
        </is>
      </c>
      <c r="D910" t="inlineStr">
        <is>
          <t>/约读书房/1-7级别/视频课件/pdf/经典好书/学龄儿童家长/宝妈/家长群体</t>
        </is>
      </c>
      <c r="E910" t="inlineStr">
        <is>
          <t>https://dcn8qexvg13r.feishu.cn/share/base/query/shrcnMqxwwRkV3NUIUxPeab3sec</t>
        </is>
      </c>
      <c r="F910" t="inlineStr">
        <is>
          <t>请添加微信：k846211</t>
        </is>
      </c>
      <c r="G910" t="inlineStr">
        <is>
          <t>2025-12-08</t>
        </is>
      </c>
    </row>
    <row r="911" ht="25.5" customHeight="1">
      <c r="A911" t="inlineStr">
        <is>
          <t>典中点三年级上册数学冀教版电子样书.pdf</t>
        </is>
      </c>
      <c r="B911" s="2" t="str">
        <f>=HYPERLINK("https://pan.quark.cn/s/d33eb819a7e5", "https://pan.quark.cn/s/d33eb819a7e5")</f>
        <v>https://pan.quark.cn/s/d33eb819a7e5</v>
      </c>
      <c r="C911" t="inlineStr">
        <is>
          <t>24.7M</t>
        </is>
      </c>
      <c r="D911" t="inlineStr">
        <is>
          <t>/三年级数学/冀教版/电子样书/典中点/K12/学龄儿童家长</t>
        </is>
      </c>
      <c r="E911" t="inlineStr">
        <is>
          <t>https://dcn8qexvg13r.feishu.cn/share/base/query/shrcnMqxwwRkV3NUIUxPeab3sec</t>
        </is>
      </c>
      <c r="F911" t="inlineStr">
        <is>
          <t>请添加微信：k846211</t>
        </is>
      </c>
      <c r="G911" t="inlineStr">
        <is>
          <t>2025-12-09</t>
        </is>
      </c>
    </row>
    <row r="912" ht="25.5" customHeight="1">
      <c r="A912" t="inlineStr">
        <is>
          <t>小学典中点 三年级数学 北师版 上册.pdf</t>
        </is>
      </c>
      <c r="B912" s="2" t="str">
        <f>=HYPERLINK("https://pan.quark.cn/s/e31bff4f0f47", "https://pan.quark.cn/s/e31bff4f0f47")</f>
        <v>https://pan.quark.cn/s/e31bff4f0f47</v>
      </c>
      <c r="C912" t="inlineStr">
        <is>
          <t>209.9M</t>
        </is>
      </c>
      <c r="D912" t="inlineStr">
        <is>
          <t>/小学三年级数学/北师大版上册/同步练习/典中点/K12/学龄儿童家长</t>
        </is>
      </c>
      <c r="E912" t="inlineStr">
        <is>
          <t>https://dcn8qexvg13r.feishu.cn/share/base/query/shrcnMqxwwRkV3NUIUxPeab3sec</t>
        </is>
      </c>
      <c r="F912" t="inlineStr">
        <is>
          <t>请添加微信：k846211</t>
        </is>
      </c>
      <c r="G912" t="inlineStr">
        <is>
          <t>2025-12-09</t>
        </is>
      </c>
    </row>
    <row r="913" ht="25.5" customHeight="1">
      <c r="A913" t="inlineStr">
        <is>
          <t>典中点三年级下册数学人教版浙江专版.pdf</t>
        </is>
      </c>
      <c r="B913" s="2" t="str">
        <f>=HYPERLINK("https://pan.quark.cn/s/2536e38479fe", "https://pan.quark.cn/s/2536e38479fe")</f>
        <v>https://pan.quark.cn/s/2536e38479fe</v>
      </c>
      <c r="C913" t="inlineStr">
        <is>
          <t>72.3M</t>
        </is>
      </c>
      <c r="D913" t="inlineStr">
        <is>
          <t>/三年级数学/人教版/浙江专版/练习册/K12/学龄儿童家长</t>
        </is>
      </c>
      <c r="E913" t="inlineStr">
        <is>
          <t>https://dcn8qexvg13r.feishu.cn/share/base/query/shrcnMqxwwRkV3NUIUxPeab3sec</t>
        </is>
      </c>
      <c r="F913" t="inlineStr">
        <is>
          <t>请添加微信：k846211</t>
        </is>
      </c>
      <c r="G913" t="inlineStr">
        <is>
          <t>2025-12-09</t>
        </is>
      </c>
    </row>
    <row r="914" ht="25.5" customHeight="1">
      <c r="A914" t="inlineStr">
        <is>
          <t>典中点三年级上册数学苏教版电子样书.pdf</t>
        </is>
      </c>
      <c r="B914" s="2" t="str">
        <f>=HYPERLINK("https://pan.quark.cn/s/7a09bf75aec2", "https://pan.quark.cn/s/7a09bf75aec2")</f>
        <v>https://pan.quark.cn/s/7a09bf75aec2</v>
      </c>
      <c r="C914" t="inlineStr">
        <is>
          <t>21.6M</t>
        </is>
      </c>
      <c r="D914" t="inlineStr">
        <is>
          <t>/三年级数学/苏教版/电子样书/教辅/K12/学龄儿童家长</t>
        </is>
      </c>
      <c r="E914" t="inlineStr">
        <is>
          <t>https://dcn8qexvg13r.feishu.cn/share/base/query/shrcnMqxwwRkV3NUIUxPeab3sec</t>
        </is>
      </c>
      <c r="F914" t="inlineStr">
        <is>
          <t>请添加微信：k846211</t>
        </is>
      </c>
      <c r="G914" t="inlineStr">
        <is>
          <t>2025-12-09</t>
        </is>
      </c>
    </row>
    <row r="915" ht="25.5" customHeight="1">
      <c r="A915" t="inlineStr">
        <is>
          <t>典中点三年级上册数学人教版电子样书.pdf</t>
        </is>
      </c>
      <c r="B915" s="2" t="str">
        <f>=HYPERLINK("https://pan.quark.cn/s/f48ea6491042", "https://pan.quark.cn/s/f48ea6491042")</f>
        <v>https://pan.quark.cn/s/f48ea6491042</v>
      </c>
      <c r="C915" t="inlineStr">
        <is>
          <t>23.7M</t>
        </is>
      </c>
      <c r="D915" t="inlineStr">
        <is>
          <t>/三年级数学/人教版/电子样书/典中点/K12/学龄儿童家长</t>
        </is>
      </c>
      <c r="E915" t="inlineStr">
        <is>
          <t>https://dcn8qexvg13r.feishu.cn/share/base/query/shrcnMqxwwRkV3NUIUxPeab3sec</t>
        </is>
      </c>
      <c r="F915" t="inlineStr">
        <is>
          <t>请添加微信：k846211</t>
        </is>
      </c>
      <c r="G915" t="inlineStr">
        <is>
          <t>2025-12-09</t>
        </is>
      </c>
    </row>
    <row r="916" ht="25.5" customHeight="1">
      <c r="A916" t="inlineStr">
        <is>
          <t>25年二年级上册语文期末复习每日一练21天冲刺计划.pdf</t>
        </is>
      </c>
      <c r="B916" s="2" t="str">
        <f>=HYPERLINK("https://pan.quark.cn/s/760142101416", "https://pan.quark.cn/s/760142101416")</f>
        <v>https://pan.quark.cn/s/760142101416</v>
      </c>
      <c r="C916" t="inlineStr">
        <is>
          <t>9M</t>
        </is>
      </c>
      <c r="D916" t="inlineStr">
        <is>
          <t>/二年级语文/期末复习/每日一练/21天冲刺/K12/学龄儿童家长</t>
        </is>
      </c>
      <c r="E916" t="inlineStr">
        <is>
          <t>https://dcn8qexvg13r.feishu.cn/share/base/query/shrcnMqxwwRkV3NUIUxPeab3sec</t>
        </is>
      </c>
      <c r="F916" t="inlineStr">
        <is>
          <t>请添加微信：k846211</t>
        </is>
      </c>
      <c r="G916" t="inlineStr">
        <is>
          <t>2025-12-09</t>
        </is>
      </c>
    </row>
    <row r="917" ht="25.5" customHeight="1">
      <c r="A917" t="inlineStr">
        <is>
          <t>语文1年级上册《期末总复习每日一练 21天冲刺计划》25秋.pdf</t>
        </is>
      </c>
      <c r="B917" s="2" t="str">
        <f>=HYPERLINK("https://pan.quark.cn/s/26ed3c0ef612", "https://pan.quark.cn/s/26ed3c0ef612")</f>
        <v>https://pan.quark.cn/s/26ed3c0ef612</v>
      </c>
      <c r="C917" t="inlineStr">
        <is>
          <t>185.6M</t>
        </is>
      </c>
      <c r="D917" t="inlineStr">
        <is>
          <t>/语文/期末总复习/每日一练/21天冲刺/K12/学龄儿童家长</t>
        </is>
      </c>
      <c r="E917" t="inlineStr">
        <is>
          <t>https://dcn8qexvg13r.feishu.cn/share/base/query/shrcnMqxwwRkV3NUIUxPeab3sec</t>
        </is>
      </c>
      <c r="F917" t="inlineStr">
        <is>
          <t>请添加微信：k846211</t>
        </is>
      </c>
      <c r="G917" t="inlineStr">
        <is>
          <t>2025-12-09</t>
        </is>
      </c>
    </row>
    <row r="918" ht="25.5" customHeight="1">
      <c r="A918" t="inlineStr">
        <is>
          <t>数学2年级上册《期末总复习每日一练 21天冲刺计划》(1).pdf</t>
        </is>
      </c>
      <c r="B918" s="2" t="str">
        <f>=HYPERLINK("https://pan.quark.cn/s/0b1d8e518b8a", "https://pan.quark.cn/s/0b1d8e518b8a")</f>
        <v>https://pan.quark.cn/s/0b1d8e518b8a</v>
      </c>
      <c r="C918" t="inlineStr">
        <is>
          <t>12.8M</t>
        </is>
      </c>
      <c r="D918" t="inlineStr">
        <is>
          <t>/数学/期末总复习/每日一练/21天冲刺计划/学龄儿童家长/K12</t>
        </is>
      </c>
      <c r="E918" t="inlineStr">
        <is>
          <t>https://dcn8qexvg13r.feishu.cn/share/base/query/shrcnMqxwwRkV3NUIUxPeab3sec</t>
        </is>
      </c>
      <c r="F918" t="inlineStr">
        <is>
          <t>请添加微信：k846211</t>
        </is>
      </c>
      <c r="G918" t="inlineStr">
        <is>
          <t>2025-12-09</t>
        </is>
      </c>
    </row>
    <row r="919" ht="25.5" customHeight="1">
      <c r="A919" t="inlineStr">
        <is>
          <t>数学1年级上册《期末总复习每日一练 21天冲刺计划》.pdf</t>
        </is>
      </c>
      <c r="B919" s="2" t="str">
        <f>=HYPERLINK("https://pan.quark.cn/s/27e89e04fa84", "https://pan.quark.cn/s/27e89e04fa84")</f>
        <v>https://pan.quark.cn/s/27e89e04fa84</v>
      </c>
      <c r="C919" t="inlineStr">
        <is>
          <t>14.6M</t>
        </is>
      </c>
      <c r="D919" t="inlineStr">
        <is>
          <t>/数学/1年级上册/期末总复习/每日一练/21天冲刺/K12/学龄儿童家长</t>
        </is>
      </c>
      <c r="E919" t="inlineStr">
        <is>
          <t>https://dcn8qexvg13r.feishu.cn/share/base/query/shrcnMqxwwRkV3NUIUxPeab3sec</t>
        </is>
      </c>
      <c r="F919" t="inlineStr">
        <is>
          <t>请添加微信：k846211</t>
        </is>
      </c>
      <c r="G919" t="inlineStr">
        <is>
          <t>2025-12-09</t>
        </is>
      </c>
    </row>
    <row r="920" ht="25.5" customHeight="1">
      <c r="A920" t="inlineStr">
        <is>
          <t>一天一篇小古文</t>
        </is>
      </c>
      <c r="B920" s="2" t="str">
        <f>=HYPERLINK("https://pan.quark.cn/s/4d5f3e5e2364", "https://pan.quark.cn/s/4d5f3e5e2364")</f>
        <v>https://pan.quark.cn/s/4d5f3e5e2364</v>
      </c>
      <c r="C920" t="inlineStr">
        <is>
          <t>452.4M</t>
        </is>
      </c>
      <c r="D920" t="inlineStr">
        <is>
          <t>/古文/每日学习/传统文化/K12/学龄儿童家长</t>
        </is>
      </c>
      <c r="E920" t="inlineStr">
        <is>
          <t>https://dcn8qexvg13r.feishu.cn/share/base/query/shrcnMqxwwRkV3NUIUxPeab3sec</t>
        </is>
      </c>
      <c r="F920" t="inlineStr">
        <is>
          <t>请添加微信：k846211</t>
        </is>
      </c>
      <c r="G920" t="inlineStr">
        <is>
          <t>2025-12-09</t>
        </is>
      </c>
    </row>
    <row r="921" ht="25.5" customHeight="1">
      <c r="A921" t="inlineStr">
        <is>
          <t>一天一篇小古文</t>
        </is>
      </c>
      <c r="B921" s="2" t="str">
        <f>=HYPERLINK("https://pan.quark.cn/s/130abca98235", "https://pan.quark.cn/s/130abca98235")</f>
        <v>https://pan.quark.cn/s/130abca98235</v>
      </c>
      <c r="C921" t="inlineStr">
        <is>
          <t>668.4M</t>
        </is>
      </c>
      <c r="D921" t="inlineStr">
        <is>
          <t>/小古文/每日学习/传统文化/K12/学龄儿童家长</t>
        </is>
      </c>
      <c r="E921" t="inlineStr">
        <is>
          <t>https://dcn8qexvg13r.feishu.cn/share/base/query/shrcnMqxwwRkV3NUIUxPeab3sec</t>
        </is>
      </c>
      <c r="F921" t="inlineStr">
        <is>
          <t>请添加微信：k846211</t>
        </is>
      </c>
      <c r="G921" t="inlineStr">
        <is>
          <t>2025-12-09</t>
        </is>
      </c>
    </row>
    <row r="922" ht="25.5" customHeight="1">
      <c r="A922" t="inlineStr">
        <is>
          <t>一天一篇小古文</t>
        </is>
      </c>
      <c r="B922" s="2" t="str">
        <f>=HYPERLINK("https://pan.quark.cn/s/6586263e102e", "https://pan.quark.cn/s/6586263e102e")</f>
        <v>https://pan.quark.cn/s/6586263e102e</v>
      </c>
      <c r="C922" t="inlineStr">
        <is>
          <t>668.4M</t>
        </is>
      </c>
      <c r="D922" t="inlineStr">
        <is>
          <t>/小古文/每日学习/文言文/传统文化/K12/学龄儿童家长</t>
        </is>
      </c>
      <c r="E922" t="inlineStr">
        <is>
          <t>https://dcn8qexvg13r.feishu.cn/share/base/query/shrcnMqxwwRkV3NUIUxPeab3sec</t>
        </is>
      </c>
      <c r="F922" t="inlineStr">
        <is>
          <t>请添加微信：k846211</t>
        </is>
      </c>
      <c r="G922" t="inlineStr">
        <is>
          <t>2025-12-09</t>
        </is>
      </c>
    </row>
    <row r="923" ht="25.5" customHeight="1">
      <c r="A923" t="inlineStr">
        <is>
          <t>一天一篇小古文</t>
        </is>
      </c>
      <c r="B923" s="2" t="str">
        <f>=HYPERLINK("https://pan.quark.cn/s/8bb6cc689554", "https://pan.quark.cn/s/8bb6cc689554")</f>
        <v>https://pan.quark.cn/s/8bb6cc689554</v>
      </c>
      <c r="C923" t="inlineStr">
        <is>
          <t>668.4M</t>
        </is>
      </c>
      <c r="D923" t="inlineStr">
        <is>
          <t>/小古文/每日学习/传统文化/K12/学龄儿童家长</t>
        </is>
      </c>
      <c r="E923" t="inlineStr">
        <is>
          <t>https://dcn8qexvg13r.feishu.cn/share/base/query/shrcnMqxwwRkV3NUIUxPeab3sec</t>
        </is>
      </c>
      <c r="F923" t="inlineStr">
        <is>
          <t>请添加微信：k846211</t>
        </is>
      </c>
      <c r="G923" t="inlineStr">
        <is>
          <t>2025-12-09</t>
        </is>
      </c>
    </row>
    <row r="924" ht="25.5" customHeight="1">
      <c r="A924" t="inlineStr">
        <is>
          <t>《高思竞赛数学课本》1-6年级</t>
        </is>
      </c>
      <c r="B924" s="2" t="str">
        <f>=HYPERLINK("https://pan.quark.cn/s/cc86da6cf31f", "https://pan.quark.cn/s/cc86da6cf31f")</f>
        <v>https://pan.quark.cn/s/cc86da6cf31f</v>
      </c>
      <c r="C924" t="inlineStr">
        <is>
          <t>957.4MB</t>
        </is>
      </c>
      <c r="D924" t="inlineStr">
        <is>
          <t>/数学竞赛/课本/小学/思维训练/K12/学龄儿童家长</t>
        </is>
      </c>
      <c r="E924" t="inlineStr">
        <is>
          <t>https://dcn8qexvg13r.feishu.cn/share/base/query/shrcnMqxwwRkV3NUIUxPeab3sec</t>
        </is>
      </c>
      <c r="F924" t="inlineStr">
        <is>
          <t>请添加微信：k846211</t>
        </is>
      </c>
      <c r="G924" t="inlineStr">
        <is>
          <t>2025-12-09</t>
        </is>
      </c>
    </row>
    <row r="925" ht="25.5" customHeight="1">
      <c r="A925" t="inlineStr">
        <is>
          <t>高思奥数课本1~6年级上下册(1)</t>
        </is>
      </c>
      <c r="B925" s="2" t="str">
        <f>=HYPERLINK("https://pan.quark.cn/s/9e94be3a3cc0", "https://pan.quark.cn/s/9e94be3a3cc0")</f>
        <v>https://pan.quark.cn/s/9e94be3a3cc0</v>
      </c>
      <c r="C925" t="inlineStr">
        <is>
          <t>957.4MB</t>
        </is>
      </c>
      <c r="D925" t="inlineStr">
        <is>
          <t>/高思/奥数/课本/1-6年级/K12/学龄儿童家长</t>
        </is>
      </c>
      <c r="E925" t="inlineStr">
        <is>
          <t>https://dcn8qexvg13r.feishu.cn/share/base/query/shrcnMqxwwRkV3NUIUxPeab3sec</t>
        </is>
      </c>
      <c r="F925" t="inlineStr">
        <is>
          <t>请添加微信：k846211</t>
        </is>
      </c>
      <c r="G925" t="inlineStr">
        <is>
          <t>2025-12-09</t>
        </is>
      </c>
    </row>
    <row r="926" ht="25.5" customHeight="1">
      <c r="A926" t="inlineStr">
        <is>
          <t>高思奥数课本1~6年级上下册</t>
        </is>
      </c>
      <c r="B926" s="2" t="str">
        <f>=HYPERLINK("https://pan.quark.cn/s/dea457a45138", "https://pan.quark.cn/s/dea457a45138")</f>
        <v>https://pan.quark.cn/s/dea457a45138</v>
      </c>
      <c r="C926" t="inlineStr">
        <is>
          <t>957.4MB</t>
        </is>
      </c>
      <c r="D926" t="inlineStr">
        <is>
          <t>/奥数/小学/数学思维/课本/K12/学龄儿童家长</t>
        </is>
      </c>
      <c r="E926" t="inlineStr">
        <is>
          <t>https://dcn8qexvg13r.feishu.cn/share/base/query/shrcnMqxwwRkV3NUIUxPeab3sec</t>
        </is>
      </c>
      <c r="F926" t="inlineStr">
        <is>
          <t>请添加微信：k846211</t>
        </is>
      </c>
      <c r="G926" t="inlineStr">
        <is>
          <t>2025-12-09</t>
        </is>
      </c>
    </row>
    <row r="927" ht="25.5" customHeight="1">
      <c r="A927" t="inlineStr">
        <is>
          <t>《典中点》数学1-6年级上册【SJ】</t>
        </is>
      </c>
      <c r="B927" s="2" t="str">
        <f>=HYPERLINK("https://pan.quark.cn/s/3dcfcb68a8db", "https://pan.quark.cn/s/3dcfcb68a8db")</f>
        <v>https://pan.quark.cn/s/3dcfcb68a8db</v>
      </c>
      <c r="C927" t="inlineStr">
        <is>
          <t>125.4MB</t>
        </is>
      </c>
      <c r="D927" t="inlineStr">
        <is>
          <t>/数学/1-6年级上册/苏教版/同步练习/K12/学龄儿童家长</t>
        </is>
      </c>
      <c r="E927" t="inlineStr">
        <is>
          <t>https://dcn8qexvg13r.feishu.cn/share/base/query/shrcnMqxwwRkV3NUIUxPeab3sec</t>
        </is>
      </c>
      <c r="F927" t="inlineStr">
        <is>
          <t>请添加微信：k846211</t>
        </is>
      </c>
      <c r="G927" t="inlineStr">
        <is>
          <t>2025-12-09</t>
        </is>
      </c>
    </row>
    <row r="928" ht="25.5" customHeight="1">
      <c r="A928" t="inlineStr">
        <is>
          <t>2024-2025学年一-六年级数学上册秋季开学摸底考（北师大版）</t>
        </is>
      </c>
      <c r="B928" s="2" t="str">
        <f>=HYPERLINK("https://pan.quark.cn/s/a5e55b99e9ce", "https://pan.quark.cn/s/a5e55b99e9ce")</f>
        <v>https://pan.quark.cn/s/a5e55b99e9ce</v>
      </c>
      <c r="C928" t="inlineStr">
        <is>
          <t>33.3MB</t>
        </is>
      </c>
      <c r="D928" t="inlineStr">
        <is>
          <t>/数学/摸底考/北师大版/小学/学龄儿童家长/K12</t>
        </is>
      </c>
      <c r="E928" t="inlineStr">
        <is>
          <t>https://dcn8qexvg13r.feishu.cn/share/base/query/shrcnMqxwwRkV3NUIUxPeab3sec</t>
        </is>
      </c>
      <c r="F928" t="inlineStr">
        <is>
          <t>请添加微信：k846211</t>
        </is>
      </c>
      <c r="G928" t="inlineStr">
        <is>
          <t>2025-12-09</t>
        </is>
      </c>
    </row>
    <row r="929" ht="25.5" customHeight="1">
      <c r="A929" t="inlineStr">
        <is>
          <t>「25秋苏教版一~六年级上册数学周末核心考点闯关练」</t>
        </is>
      </c>
      <c r="B929" s="2" t="str">
        <f>=HYPERLINK("https://pan.quark.cn/s/9b20e501b6a1", "https://pan.quark.cn/s/9b20e501b6a1")</f>
        <v>https://pan.quark.cn/s/9b20e501b6a1</v>
      </c>
      <c r="C929" t="inlineStr">
        <is>
          <t>124.9MB</t>
        </is>
      </c>
      <c r="D929" t="inlineStr">
        <is>
          <t>/苏教版数学/周末练习/核心考点/闯关训练/K12/学龄儿童家长</t>
        </is>
      </c>
      <c r="E929" t="inlineStr">
        <is>
          <t>https://dcn8qexvg13r.feishu.cn/share/base/query/shrcnMqxwwRkV3NUIUxPeab3sec</t>
        </is>
      </c>
      <c r="F929" t="inlineStr">
        <is>
          <t>请添加微信：k846211</t>
        </is>
      </c>
      <c r="G929" t="inlineStr">
        <is>
          <t>2025-12-09</t>
        </is>
      </c>
    </row>
    <row r="930" ht="25.5" customHeight="1">
      <c r="A930" t="inlineStr">
        <is>
          <t>🌲华东师大一课一练初中物理沪教25年上册89</t>
        </is>
      </c>
      <c r="B930" s="2" t="str">
        <f>=HYPERLINK("https://pan.quark.cn/s/33932642a029", "https://pan.quark.cn/s/33932642a029")</f>
        <v>https://pan.quark.cn/s/33932642a029</v>
      </c>
      <c r="C930" t="inlineStr">
        <is>
          <t>565.4MB</t>
        </is>
      </c>
      <c r="D930" t="inlineStr">
        <is>
          <t>/初中物理/沪教版/一课一练/练习册/K12/学龄儿童家长</t>
        </is>
      </c>
      <c r="E930" t="inlineStr">
        <is>
          <t>https://dcn8qexvg13r.feishu.cn/share/base/query/shrcnMqxwwRkV3NUIUxPeab3sec</t>
        </is>
      </c>
      <c r="F930" t="inlineStr">
        <is>
          <t>请添加微信：k846211</t>
        </is>
      </c>
      <c r="G930" t="inlineStr">
        <is>
          <t>2025-12-09</t>
        </is>
      </c>
    </row>
    <row r="931" ht="25.5" customHeight="1">
      <c r="A931" t="inlineStr">
        <is>
          <t>🌲华东师大一课一练初中数学沪教25年上册7</t>
        </is>
      </c>
      <c r="B931" s="2" t="str">
        <f>=HYPERLINK("https://pan.quark.cn/s/f7750360b83b", "https://pan.quark.cn/s/f7750360b83b")</f>
        <v>https://pan.quark.cn/s/f7750360b83b</v>
      </c>
      <c r="C931" t="inlineStr">
        <is>
          <t>61.6MB</t>
        </is>
      </c>
      <c r="D931" t="inlineStr">
        <is>
          <t>/初中数学/沪教版/一课一练/同步练习/K12/学龄儿童家长</t>
        </is>
      </c>
      <c r="E931" t="inlineStr">
        <is>
          <t>https://dcn8qexvg13r.feishu.cn/share/base/query/shrcnMqxwwRkV3NUIUxPeab3sec</t>
        </is>
      </c>
      <c r="F931" t="inlineStr">
        <is>
          <t>请添加微信：k846211</t>
        </is>
      </c>
      <c r="G931" t="inlineStr">
        <is>
          <t>2025-12-09</t>
        </is>
      </c>
    </row>
    <row r="932" ht="25.5" customHeight="1">
      <c r="A932" t="inlineStr">
        <is>
          <t>25版53天天练346年级上册外研英语(1)</t>
        </is>
      </c>
      <c r="B932" s="2" t="str">
        <f>=HYPERLINK("https://pan.quark.cn/s/72de60066615", "https://pan.quark.cn/s/72de60066615")</f>
        <v>https://pan.quark.cn/s/72de60066615</v>
      </c>
      <c r="C932" t="inlineStr">
        <is>
          <t>147.7MB</t>
        </is>
      </c>
      <c r="D932" t="inlineStr">
        <is>
          <t>/外研英语/346年级上册/天天练/练习册/K12/学龄儿童家长</t>
        </is>
      </c>
      <c r="E932" t="inlineStr">
        <is>
          <t>https://dcn8qexvg13r.feishu.cn/share/base/query/shrcnMqxwwRkV3NUIUxPeab3sec</t>
        </is>
      </c>
      <c r="F932" t="inlineStr">
        <is>
          <t>请添加微信：k846211</t>
        </is>
      </c>
      <c r="G932" t="inlineStr">
        <is>
          <t>2025-12-09</t>
        </is>
      </c>
    </row>
    <row r="933" ht="25.5" customHeight="1">
      <c r="A933" t="inlineStr">
        <is>
          <t>25秋53天天练1-6年级上册译林英语(1)</t>
        </is>
      </c>
      <c r="B933" s="2" t="str">
        <f>=HYPERLINK("https://pan.quark.cn/s/1c710c83a707", "https://pan.quark.cn/s/1c710c83a707")</f>
        <v>https://pan.quark.cn/s/1c710c83a707</v>
      </c>
      <c r="C933" t="inlineStr">
        <is>
          <t>342.5MB</t>
        </is>
      </c>
      <c r="D933" t="inlineStr">
        <is>
          <t>/译林英语/1-6年级上册/天天练/同步练习/K12/学龄儿童家长</t>
        </is>
      </c>
      <c r="E933" t="inlineStr">
        <is>
          <t>https://dcn8qexvg13r.feishu.cn/share/base/query/shrcnMqxwwRkV3NUIUxPeab3sec</t>
        </is>
      </c>
      <c r="F933" t="inlineStr">
        <is>
          <t>请添加微信：k846211</t>
        </is>
      </c>
      <c r="G933" t="inlineStr">
        <is>
          <t>2025-12-09</t>
        </is>
      </c>
    </row>
    <row r="934" ht="25.5" customHeight="1">
      <c r="A934" t="inlineStr">
        <is>
          <t>25秋53天天练12456年级上册人教英语(1)</t>
        </is>
      </c>
      <c r="B934" s="2" t="str">
        <f>=HYPERLINK("https://pan.quark.cn/s/77207bcd7918", "https://pan.quark.cn/s/77207bcd7918")</f>
        <v>https://pan.quark.cn/s/77207bcd7918</v>
      </c>
      <c r="C934" t="inlineStr">
        <is>
          <t>337.0MB</t>
        </is>
      </c>
      <c r="D934" t="inlineStr">
        <is>
          <t>/人教英语/53天天练/小学同步练习/英语练习/K12/学龄儿童家长</t>
        </is>
      </c>
      <c r="E934" t="inlineStr">
        <is>
          <t>https://dcn8qexvg13r.feishu.cn/share/base/query/shrcnMqxwwRkV3NUIUxPeab3sec</t>
        </is>
      </c>
      <c r="F934" t="inlineStr">
        <is>
          <t>请添加微信：k846211</t>
        </is>
      </c>
      <c r="G934" t="inlineStr">
        <is>
          <t>2025-12-09</t>
        </is>
      </c>
    </row>
    <row r="935" ht="25.5" customHeight="1">
      <c r="A935" t="inlineStr">
        <is>
          <t>25秋53天天练3456年级上册沪教牛津英语(1)</t>
        </is>
      </c>
      <c r="B935" s="2" t="str">
        <f>=HYPERLINK("https://pan.quark.cn/s/5006cd8b653f", "https://pan.quark.cn/s/5006cd8b653f")</f>
        <v>https://pan.quark.cn/s/5006cd8b653f</v>
      </c>
      <c r="C935" t="inlineStr">
        <is>
          <t>144.9MB</t>
        </is>
      </c>
      <c r="D935" t="inlineStr">
        <is>
          <t>/沪教牛津英语/3456年级上册/53天天练/同步练习/K12/学龄儿童家长</t>
        </is>
      </c>
      <c r="E935" t="inlineStr">
        <is>
          <t>https://dcn8qexvg13r.feishu.cn/share/base/query/shrcnMqxwwRkV3NUIUxPeab3sec</t>
        </is>
      </c>
      <c r="F935" t="inlineStr">
        <is>
          <t>请添加微信：k846211</t>
        </is>
      </c>
      <c r="G935" t="inlineStr">
        <is>
          <t>2025-12-09</t>
        </is>
      </c>
    </row>
    <row r="936" ht="25.5" customHeight="1">
      <c r="A936" t="inlineStr">
        <is>
          <t>25秋53天天练3456年级上册冀教英语(1)</t>
        </is>
      </c>
      <c r="B936" s="2" t="str">
        <f>=HYPERLINK("https://pan.quark.cn/s/611d18312e3d", "https://pan.quark.cn/s/611d18312e3d")</f>
        <v>https://pan.quark.cn/s/611d18312e3d</v>
      </c>
      <c r="C936" t="inlineStr">
        <is>
          <t>183.2MB</t>
        </is>
      </c>
      <c r="D936" t="inlineStr">
        <is>
          <t>/53天天练/冀教英语/3456年级上册/同步练习/K12/学龄儿童家长</t>
        </is>
      </c>
      <c r="E936" t="inlineStr">
        <is>
          <t>https://dcn8qexvg13r.feishu.cn/share/base/query/shrcnMqxwwRkV3NUIUxPeab3sec</t>
        </is>
      </c>
      <c r="F936" t="inlineStr">
        <is>
          <t>请添加微信：k846211</t>
        </is>
      </c>
      <c r="G936" t="inlineStr">
        <is>
          <t>2025-12-09</t>
        </is>
      </c>
    </row>
    <row r="937" ht="25.5" customHeight="1">
      <c r="A937" t="inlineStr">
        <is>
          <t>【09】最强大脑王峰老师高效记忆力课程</t>
        </is>
      </c>
      <c r="B937" s="2" t="str">
        <f>=HYPERLINK("https://pan.quark.cn/s/1375672ad2ba", "https://pan.quark.cn/s/1375672ad2ba")</f>
        <v>https://pan.quark.cn/s/1375672ad2ba</v>
      </c>
      <c r="C937" t="inlineStr">
        <is>
          <t>3.1GB</t>
        </is>
      </c>
      <c r="D937" t="inlineStr">
        <is>
          <t>/高效记忆力/课程/王峰/大学生/考研/考公/考证党/白领</t>
        </is>
      </c>
      <c r="E937" t="inlineStr">
        <is>
          <t>https://dcn8qexvg13r.feishu.cn/share/base/query/shrcnMqxwwRkV3NUIUxPeab3sec</t>
        </is>
      </c>
      <c r="F937" t="inlineStr">
        <is>
          <t>请添加微信：k846211</t>
        </is>
      </c>
      <c r="G937" t="inlineStr">
        <is>
          <t>2025-12-10</t>
        </is>
      </c>
    </row>
    <row r="938" ht="25.5" customHeight="1">
      <c r="A938" t="inlineStr">
        <is>
          <t>爆笑中国历史1-4季80集</t>
        </is>
      </c>
      <c r="B938" s="2" t="str">
        <f>=HYPERLINK("https://pan.quark.cn/s/27eb0bfe2864", "https://pan.quark.cn/s/27eb0bfe2864")</f>
        <v>https://pan.quark.cn/s/27eb0bfe2864</v>
      </c>
      <c r="C938" t="inlineStr">
        <is>
          <t>6.9GB</t>
        </is>
      </c>
      <c r="D938" t="inlineStr">
        <is>
          <t>/中国历史/爆笑/剧集/历史学习/K12/学龄儿童家长</t>
        </is>
      </c>
      <c r="E938" t="inlineStr">
        <is>
          <t>https://dcn8qexvg13r.feishu.cn/share/base/query/shrcnMqxwwRkV3NUIUxPeab3sec</t>
        </is>
      </c>
      <c r="F938" t="inlineStr">
        <is>
          <t>请添加微信：k846211</t>
        </is>
      </c>
      <c r="G938" t="inlineStr">
        <is>
          <t>2025-12-11</t>
        </is>
      </c>
    </row>
    <row r="939" ht="25.5" customHeight="1">
      <c r="A939" t="inlineStr">
        <is>
          <t>6.人教起点六年级英语 下册</t>
        </is>
      </c>
      <c r="B939" s="2" t="str">
        <f>=HYPERLINK("https://pan.quark.cn/s/59007fe7db2b", "https://pan.quark.cn/s/59007fe7db2b")</f>
        <v>https://pan.quark.cn/s/59007fe7db2b</v>
      </c>
      <c r="C939" t="inlineStr">
        <is>
          <t>4.4GB</t>
        </is>
      </c>
      <c r="D939" t="inlineStr">
        <is>
          <t>/六年级英语/下册/人教版/起点教材/K12/学龄儿童家长</t>
        </is>
      </c>
      <c r="E939" t="inlineStr">
        <is>
          <t>https://dcn8qexvg13r.feishu.cn/share/base/query/shrcnMqxwwRkV3NUIUxPeab3sec</t>
        </is>
      </c>
      <c r="F939" t="inlineStr">
        <is>
          <t>请添加微信：k846211</t>
        </is>
      </c>
      <c r="G939" t="inlineStr">
        <is>
          <t>2025-12-11</t>
        </is>
      </c>
    </row>
    <row r="940" ht="25.5" customHeight="1">
      <c r="A940" t="inlineStr">
        <is>
          <t>6.人教起点六年级英语 上册</t>
        </is>
      </c>
      <c r="B940" s="2" t="str">
        <f>=HYPERLINK("https://pan.quark.cn/s/5ae79ce60b71", "https://pan.quark.cn/s/5ae79ce60b71")</f>
        <v>https://pan.quark.cn/s/5ae79ce60b71</v>
      </c>
      <c r="C940" t="inlineStr">
        <is>
          <t>4.7GB</t>
        </is>
      </c>
      <c r="D940" t="inlineStr">
        <is>
          <t>/六年级英语/上册/人教版/起点教材/K12/学龄儿童家长</t>
        </is>
      </c>
      <c r="E940" t="inlineStr">
        <is>
          <t>https://dcn8qexvg13r.feishu.cn/share/base/query/shrcnMqxwwRkV3NUIUxPeab3sec</t>
        </is>
      </c>
      <c r="F940" t="inlineStr">
        <is>
          <t>请添加微信：k846211</t>
        </is>
      </c>
      <c r="G940" t="inlineStr">
        <is>
          <t>2025-12-11</t>
        </is>
      </c>
    </row>
    <row r="941" ht="25.5" customHeight="1">
      <c r="A941" t="inlineStr">
        <is>
          <t>5.人教起点五年级英语 下册</t>
        </is>
      </c>
      <c r="B941" s="2" t="str">
        <f>=HYPERLINK("https://pan.quark.cn/s/44ff6f086a87", "https://pan.quark.cn/s/44ff6f086a87")</f>
        <v>https://pan.quark.cn/s/44ff6f086a87</v>
      </c>
      <c r="C941" t="inlineStr">
        <is>
          <t>4.5GB</t>
        </is>
      </c>
      <c r="D941" t="inlineStr">
        <is>
          <t>/五年级英语/人教版/小学英语/下册/K12/学龄儿童家长</t>
        </is>
      </c>
      <c r="E941" t="inlineStr">
        <is>
          <t>https://dcn8qexvg13r.feishu.cn/share/base/query/shrcnMqxwwRkV3NUIUxPeab3sec</t>
        </is>
      </c>
      <c r="F941" t="inlineStr">
        <is>
          <t>请添加微信：k846211</t>
        </is>
      </c>
      <c r="G941" t="inlineStr">
        <is>
          <t>2025-12-11</t>
        </is>
      </c>
    </row>
    <row r="942" ht="25.5" customHeight="1">
      <c r="A942" t="inlineStr">
        <is>
          <t>5.人教起点五年级英语 上册</t>
        </is>
      </c>
      <c r="B942" s="2" t="str">
        <f>=HYPERLINK("https://pan.quark.cn/s/4ce2ab6b236e", "https://pan.quark.cn/s/4ce2ab6b236e")</f>
        <v>https://pan.quark.cn/s/4ce2ab6b236e</v>
      </c>
      <c r="C942" t="inlineStr">
        <is>
          <t>4.4GB</t>
        </is>
      </c>
      <c r="D942" t="inlineStr">
        <is>
          <t>/英语/五年级/上册/人教起点/K12/学龄儿童家长</t>
        </is>
      </c>
      <c r="E942" t="inlineStr">
        <is>
          <t>https://dcn8qexvg13r.feishu.cn/share/base/query/shrcnMqxwwRkV3NUIUxPeab3sec</t>
        </is>
      </c>
      <c r="F942" t="inlineStr">
        <is>
          <t>请添加微信：k846211</t>
        </is>
      </c>
      <c r="G942" t="inlineStr">
        <is>
          <t>2025-12-11</t>
        </is>
      </c>
    </row>
    <row r="943" ht="25.5" customHeight="1">
      <c r="A943" t="inlineStr">
        <is>
          <t>4.人教起点四年级英语 下册</t>
        </is>
      </c>
      <c r="B943" s="2" t="str">
        <f>=HYPERLINK("https://pan.quark.cn/s/8157f7efa42e", "https://pan.quark.cn/s/8157f7efa42e")</f>
        <v>https://pan.quark.cn/s/8157f7efa42e</v>
      </c>
      <c r="C943" t="inlineStr">
        <is>
          <t>4.3GB</t>
        </is>
      </c>
      <c r="D943" t="inlineStr">
        <is>
          <t>/四年级英语/下册/人教起点/英语学习/K12/学龄儿童家长</t>
        </is>
      </c>
      <c r="E943" t="inlineStr">
        <is>
          <t>https://dcn8qexvg13r.feishu.cn/share/base/query/shrcnMqxwwRkV3NUIUxPeab3sec</t>
        </is>
      </c>
      <c r="F943" t="inlineStr">
        <is>
          <t>请添加微信：k846211</t>
        </is>
      </c>
      <c r="G943" t="inlineStr">
        <is>
          <t>2025-12-11</t>
        </is>
      </c>
    </row>
    <row r="944" ht="25.5" customHeight="1">
      <c r="A944" t="inlineStr">
        <is>
          <t>4.人教起点四年级英语 上册</t>
        </is>
      </c>
      <c r="B944" s="2" t="str">
        <f>=HYPERLINK("https://pan.quark.cn/s/b260ecdf6981", "https://pan.quark.cn/s/b260ecdf6981")</f>
        <v>https://pan.quark.cn/s/b260ecdf6981</v>
      </c>
      <c r="C944" t="inlineStr">
        <is>
          <t>5.2GB</t>
        </is>
      </c>
      <c r="D944" t="inlineStr">
        <is>
          <t>/四年级英语/人教起点/上册/英语学习/K12/学龄儿童家长</t>
        </is>
      </c>
      <c r="E944" t="inlineStr">
        <is>
          <t>https://dcn8qexvg13r.feishu.cn/share/base/query/shrcnMqxwwRkV3NUIUxPeab3sec</t>
        </is>
      </c>
      <c r="F944" t="inlineStr">
        <is>
          <t>请添加微信：k846211</t>
        </is>
      </c>
      <c r="G944" t="inlineStr">
        <is>
          <t>2025-12-11</t>
        </is>
      </c>
    </row>
    <row r="945" ht="25.5" customHeight="1">
      <c r="A945" t="inlineStr">
        <is>
          <t>3.人教起点三年级英语 下册</t>
        </is>
      </c>
      <c r="B945" s="2" t="str">
        <f>=HYPERLINK("https://pan.quark.cn/s/7cc34e80aa5f", "https://pan.quark.cn/s/7cc34e80aa5f")</f>
        <v>https://pan.quark.cn/s/7cc34e80aa5f</v>
      </c>
      <c r="C945" t="inlineStr">
        <is>
          <t>2.9GB</t>
        </is>
      </c>
      <c r="D945" t="inlineStr">
        <is>
          <t>/三年级英语/人教起点/下册/英语学习/K12/学龄儿童家长</t>
        </is>
      </c>
      <c r="E945" t="inlineStr">
        <is>
          <t>https://dcn8qexvg13r.feishu.cn/share/base/query/shrcnMqxwwRkV3NUIUxPeab3sec</t>
        </is>
      </c>
      <c r="F945" t="inlineStr">
        <is>
          <t>请添加微信：k846211</t>
        </is>
      </c>
      <c r="G945" t="inlineStr">
        <is>
          <t>2025-12-11</t>
        </is>
      </c>
    </row>
    <row r="946" ht="25.5" customHeight="1">
      <c r="A946" t="inlineStr">
        <is>
          <t>3.人教起点三年级英语 上册</t>
        </is>
      </c>
      <c r="B946" s="2" t="str">
        <f>=HYPERLINK("https://pan.quark.cn/s/d830ca4a5a0e", "https://pan.quark.cn/s/d830ca4a5a0e")</f>
        <v>https://pan.quark.cn/s/d830ca4a5a0e</v>
      </c>
      <c r="C946" t="inlineStr">
        <is>
          <t>2.5GB</t>
        </is>
      </c>
      <c r="D946" t="inlineStr">
        <is>
          <t>/三年级英语/上册/人教起点/英语学习/K12/学龄儿童家长</t>
        </is>
      </c>
      <c r="E946" t="inlineStr">
        <is>
          <t>https://dcn8qexvg13r.feishu.cn/share/base/query/shrcnMqxwwRkV3NUIUxPeab3sec</t>
        </is>
      </c>
      <c r="F946" t="inlineStr">
        <is>
          <t>请添加微信：k846211</t>
        </is>
      </c>
      <c r="G946" t="inlineStr">
        <is>
          <t>2025-12-11</t>
        </is>
      </c>
    </row>
    <row r="947" ht="25.5" customHeight="1">
      <c r="A947" t="inlineStr">
        <is>
          <t>2.人教起点二年级英语 下册</t>
        </is>
      </c>
      <c r="B947" s="2" t="str">
        <f>=HYPERLINK("https://pan.quark.cn/s/c893ff0edbad", "https://pan.quark.cn/s/c893ff0edbad")</f>
        <v>https://pan.quark.cn/s/c893ff0edbad</v>
      </c>
      <c r="C947" t="inlineStr">
        <is>
          <t>1.9GB</t>
        </is>
      </c>
      <c r="D947" t="inlineStr">
        <is>
          <t>/二年级英语/下册/人教版/起点/K12/学龄儿童家长</t>
        </is>
      </c>
      <c r="E947" t="inlineStr">
        <is>
          <t>https://dcn8qexvg13r.feishu.cn/share/base/query/shrcnMqxwwRkV3NUIUxPeab3sec</t>
        </is>
      </c>
      <c r="F947" t="inlineStr">
        <is>
          <t>请添加微信：k846211</t>
        </is>
      </c>
      <c r="G947" t="inlineStr">
        <is>
          <t>2025-12-11</t>
        </is>
      </c>
    </row>
    <row r="948" ht="25.5" customHeight="1">
      <c r="A948" t="inlineStr">
        <is>
          <t>2.人教起点二年级英语 上册</t>
        </is>
      </c>
      <c r="B948" s="2" t="str">
        <f>=HYPERLINK("https://pan.quark.cn/s/d84074fea79c", "https://pan.quark.cn/s/d84074fea79c")</f>
        <v>https://pan.quark.cn/s/d84074fea79c</v>
      </c>
      <c r="C948" t="inlineStr">
        <is>
          <t>2.7GB</t>
        </is>
      </c>
      <c r="D948" t="inlineStr">
        <is>
          <t>/二年级英语/人教起点/上册/英语学习/K12/学龄儿童家长</t>
        </is>
      </c>
      <c r="E948" t="inlineStr">
        <is>
          <t>https://dcn8qexvg13r.feishu.cn/share/base/query/shrcnMqxwwRkV3NUIUxPeab3sec</t>
        </is>
      </c>
      <c r="F948" t="inlineStr">
        <is>
          <t>请添加微信：k846211</t>
        </is>
      </c>
      <c r="G948" t="inlineStr">
        <is>
          <t>2025-12-11</t>
        </is>
      </c>
    </row>
    <row r="949" ht="25.5" customHeight="1">
      <c r="A949" t="inlineStr">
        <is>
          <t>1.人教起点一年级英语 下册</t>
        </is>
      </c>
      <c r="B949" s="2" t="str">
        <f>=HYPERLINK("https://pan.quark.cn/s/13b4e8799aa1", "https://pan.quark.cn/s/13b4e8799aa1")</f>
        <v>https://pan.quark.cn/s/13b4e8799aa1</v>
      </c>
      <c r="C949" t="inlineStr">
        <is>
          <t>3.1GB</t>
        </is>
      </c>
      <c r="D949" t="inlineStr">
        <is>
          <t>/一年级英语/人教版/小学英语/K12/学龄儿童家长</t>
        </is>
      </c>
      <c r="E949" t="inlineStr">
        <is>
          <t>https://dcn8qexvg13r.feishu.cn/share/base/query/shrcnMqxwwRkV3NUIUxPeab3sec</t>
        </is>
      </c>
      <c r="F949" t="inlineStr">
        <is>
          <t>请添加微信：k846211</t>
        </is>
      </c>
      <c r="G949" t="inlineStr">
        <is>
          <t>2025-12-11</t>
        </is>
      </c>
    </row>
    <row r="950" ht="25.5" customHeight="1">
      <c r="A950" t="inlineStr">
        <is>
          <t>1.人教起点一年级英语 上册</t>
        </is>
      </c>
      <c r="B950" s="2" t="str">
        <f>=HYPERLINK("https://pan.quark.cn/s/3962ecf6bb96", "https://pan.quark.cn/s/3962ecf6bb96")</f>
        <v>https://pan.quark.cn/s/3962ecf6bb96</v>
      </c>
      <c r="C950" t="inlineStr">
        <is>
          <t>1.6GB</t>
        </is>
      </c>
      <c r="D950" t="inlineStr">
        <is>
          <t>/小学英语/一年级上册/人教版/英语启蒙/K12/学龄儿童家长</t>
        </is>
      </c>
      <c r="E950" t="inlineStr">
        <is>
          <t>https://dcn8qexvg13r.feishu.cn/share/base/query/shrcnMqxwwRkV3NUIUxPeab3sec</t>
        </is>
      </c>
      <c r="F950" t="inlineStr">
        <is>
          <t>请添加微信：k846211</t>
        </is>
      </c>
      <c r="G950" t="inlineStr">
        <is>
          <t>2025-12-11</t>
        </is>
      </c>
    </row>
    <row r="951" ht="25.5" customHeight="1">
      <c r="A951" t="inlineStr">
        <is>
          <t>北大派派老师合集(1)</t>
        </is>
      </c>
      <c r="B951" s="2" t="str">
        <f>=HYPERLINK("https://pan.quark.cn/s/b6d3b3783239", "https://pan.quark.cn/s/b6d3b3783239")</f>
        <v>https://pan.quark.cn/s/b6d3b3783239</v>
      </c>
      <c r="C951" t="inlineStr">
        <is>
          <t>178.2GB</t>
        </is>
      </c>
      <c r="D951" t="inlineStr">
        <is>
          <t>/北大/派派老师/教育/大学生/其他</t>
        </is>
      </c>
      <c r="E951" t="inlineStr">
        <is>
          <t>https://dcn8qexvg13r.feishu.cn/share/base/query/shrcnMqxwwRkV3NUIUxPeab3sec</t>
        </is>
      </c>
      <c r="F951" t="inlineStr">
        <is>
          <t>请添加微信：k846211</t>
        </is>
      </c>
      <c r="G951" t="inlineStr">
        <is>
          <t>2025-12-12</t>
        </is>
      </c>
    </row>
    <row r="952" ht="25.5" customHeight="1">
      <c r="A952" t="inlineStr">
        <is>
          <t>音标教学视频+练习题</t>
        </is>
      </c>
      <c r="B952" s="2" t="str">
        <f>=HYPERLINK("https://pan.quark.cn/s/aabae306b462", "https://pan.quark.cn/s/aabae306b462")</f>
        <v>https://pan.quark.cn/s/aabae306b462</v>
      </c>
      <c r="C952" t="inlineStr">
        <is>
          <t>7.2GB</t>
        </is>
      </c>
      <c r="D952" t="inlineStr">
        <is>
          <t>/音标/教学视频/练习题/语言/技能入门</t>
        </is>
      </c>
      <c r="E952" t="inlineStr">
        <is>
          <t>https://dcn8qexvg13r.feishu.cn/share/base/query/shrcnMqxwwRkV3NUIUxPeab3sec</t>
        </is>
      </c>
      <c r="F952" t="inlineStr">
        <is>
          <t>请添加微信：k846211</t>
        </is>
      </c>
      <c r="G952" t="inlineStr">
        <is>
          <t>2025-12-12</t>
        </is>
      </c>
    </row>
    <row r="953" ht="25.5" customHeight="1">
      <c r="A953" t="inlineStr">
        <is>
          <t>26版一本小学语文阅读真题80篇二年级.pdf</t>
        </is>
      </c>
      <c r="B953" s="2" t="str">
        <f>=HYPERLINK("https://pan.quark.cn/s/e704c7bbc975", "https://pan.quark.cn/s/e704c7bbc975")</f>
        <v>https://pan.quark.cn/s/e704c7bbc975</v>
      </c>
      <c r="C953" t="inlineStr">
        <is>
          <t>82.2MB</t>
        </is>
      </c>
      <c r="D953" t="inlineStr">
        <is>
          <t>/小学语文/阅读真题/二年级/80篇/K12/学龄儿童家长</t>
        </is>
      </c>
      <c r="E953" t="inlineStr">
        <is>
          <t>https://dcn8qexvg13r.feishu.cn/share/base/query/shrcnMqxwwRkV3NUIUxPeab3sec</t>
        </is>
      </c>
      <c r="F953" t="inlineStr">
        <is>
          <t>请添加微信：k846211</t>
        </is>
      </c>
      <c r="G953" t="inlineStr">
        <is>
          <t>2025-12-12</t>
        </is>
      </c>
    </row>
    <row r="954" ht="25.5" customHeight="1">
      <c r="A954" t="inlineStr">
        <is>
          <t>26版一本小学语文阅读真题80篇二年级(1).pdf</t>
        </is>
      </c>
      <c r="B954" s="2" t="str">
        <f>=HYPERLINK("https://pan.quark.cn/s/bb78231c08d1", "https://pan.quark.cn/s/bb78231c08d1")</f>
        <v>https://pan.quark.cn/s/bb78231c08d1</v>
      </c>
      <c r="C954" t="inlineStr">
        <is>
          <t>82.2MB</t>
        </is>
      </c>
      <c r="D954" t="inlineStr">
        <is>
          <t>/小学语文/阅读真题/二年级/K12/学龄儿童家长</t>
        </is>
      </c>
      <c r="E954" t="inlineStr">
        <is>
          <t>https://dcn8qexvg13r.feishu.cn/share/base/query/shrcnMqxwwRkV3NUIUxPeab3sec</t>
        </is>
      </c>
      <c r="F954" t="inlineStr">
        <is>
          <t>请添加微信：k846211</t>
        </is>
      </c>
      <c r="G954" t="inlineStr">
        <is>
          <t>2025-12-12</t>
        </is>
      </c>
    </row>
    <row r="955" ht="25.5" customHeight="1">
      <c r="A955" t="inlineStr">
        <is>
          <t>26版一本小学语文阅读真题80篇四年级.pdf</t>
        </is>
      </c>
      <c r="B955" s="2" t="str">
        <f>=HYPERLINK("https://pan.quark.cn/s/99a8c6893e31", "https://pan.quark.cn/s/99a8c6893e31")</f>
        <v>https://pan.quark.cn/s/99a8c6893e31</v>
      </c>
      <c r="C955" t="inlineStr">
        <is>
          <t>151.3MB</t>
        </is>
      </c>
      <c r="D955" t="inlineStr">
        <is>
          <t>/小学语文/阅读真题/四年级/K12/学龄儿童家长</t>
        </is>
      </c>
      <c r="E955" t="inlineStr">
        <is>
          <t>https://dcn8qexvg13r.feishu.cn/share/base/query/shrcnMqxwwRkV3NUIUxPeab3sec</t>
        </is>
      </c>
      <c r="F955" t="inlineStr">
        <is>
          <t>请添加微信：k846211</t>
        </is>
      </c>
      <c r="G955" t="inlineStr">
        <is>
          <t>2025-12-12</t>
        </is>
      </c>
    </row>
    <row r="956" ht="25.5" customHeight="1">
      <c r="A956" t="inlineStr">
        <is>
          <t>26版一本小学语文阅读真题80篇五年级.pdf</t>
        </is>
      </c>
      <c r="B956" s="2" t="str">
        <f>=HYPERLINK("https://pan.quark.cn/s/a218f9b19866", "https://pan.quark.cn/s/a218f9b19866")</f>
        <v>https://pan.quark.cn/s/a218f9b19866</v>
      </c>
      <c r="C956" t="inlineStr">
        <is>
          <t>146.8MB</t>
        </is>
      </c>
      <c r="D956" t="inlineStr">
        <is>
          <t>/小学语文/阅读真题/五年级/K12/学龄儿童家长</t>
        </is>
      </c>
      <c r="E956" t="inlineStr">
        <is>
          <t>https://dcn8qexvg13r.feishu.cn/share/base/query/shrcnMqxwwRkV3NUIUxPeab3sec</t>
        </is>
      </c>
      <c r="F956" t="inlineStr">
        <is>
          <t>请添加微信：k846211</t>
        </is>
      </c>
      <c r="G956" t="inlineStr">
        <is>
          <t>2025-12-12</t>
        </is>
      </c>
    </row>
    <row r="957" ht="25.5" customHeight="1">
      <c r="A957" t="inlineStr">
        <is>
          <t>26版一本小学语文阅读真题80篇五年级.pdf</t>
        </is>
      </c>
      <c r="B957" s="2" t="str">
        <f>=HYPERLINK("https://pan.quark.cn/s/0dfd78788e7e", "https://pan.quark.cn/s/0dfd78788e7e")</f>
        <v>https://pan.quark.cn/s/0dfd78788e7e</v>
      </c>
      <c r="C957" t="inlineStr">
        <is>
          <t>146.8MB</t>
        </is>
      </c>
      <c r="D957" t="inlineStr">
        <is>
          <t>/小学语文/阅读真题/五年级/训练提升/K12/学龄儿童家长</t>
        </is>
      </c>
      <c r="E957" t="inlineStr">
        <is>
          <t>https://dcn8qexvg13r.feishu.cn/share/base/query/shrcnMqxwwRkV3NUIUxPeab3sec</t>
        </is>
      </c>
      <c r="F957" t="inlineStr">
        <is>
          <t>请添加微信：k846211</t>
        </is>
      </c>
      <c r="G957" t="inlineStr">
        <is>
          <t>2025-12-12</t>
        </is>
      </c>
    </row>
    <row r="958" ht="25.5" customHeight="1">
      <c r="A958" t="inlineStr">
        <is>
          <t>26版一本小学语文阅读真题80篇四年级.pdf</t>
        </is>
      </c>
      <c r="B958" s="2" t="str">
        <f>=HYPERLINK("https://pan.quark.cn/s/b2cfd5e485b7", "https://pan.quark.cn/s/b2cfd5e485b7")</f>
        <v>https://pan.quark.cn/s/b2cfd5e485b7</v>
      </c>
      <c r="C958" t="inlineStr">
        <is>
          <t>151.3MB</t>
        </is>
      </c>
      <c r="D958" t="inlineStr">
        <is>
          <t>/小学语文/阅读真题/四年级/K12/学龄儿童家长</t>
        </is>
      </c>
      <c r="E958" t="inlineStr">
        <is>
          <t>https://dcn8qexvg13r.feishu.cn/share/base/query/shrcnMqxwwRkV3NUIUxPeab3sec</t>
        </is>
      </c>
      <c r="F958" t="inlineStr">
        <is>
          <t>请添加微信：k846211</t>
        </is>
      </c>
      <c r="G958" t="inlineStr">
        <is>
          <t>2025-12-12</t>
        </is>
      </c>
    </row>
    <row r="959" ht="25.5" customHeight="1">
      <c r="A959" t="inlineStr">
        <is>
          <t>26版一本小学语文阅读真题80篇二年级(1).pdf</t>
        </is>
      </c>
      <c r="B959" s="2" t="str">
        <f>=HYPERLINK("https://pan.quark.cn/s/4750c3c584c2", "https://pan.quark.cn/s/4750c3c584c2")</f>
        <v>https://pan.quark.cn/s/4750c3c584c2</v>
      </c>
      <c r="C959" t="inlineStr">
        <is>
          <t>82.2MB</t>
        </is>
      </c>
      <c r="D959" t="inlineStr">
        <is>
          <t>/小学语文/阅读真题/二年级/专项训练/K12/学龄儿童家长</t>
        </is>
      </c>
      <c r="E959" t="inlineStr">
        <is>
          <t>https://dcn8qexvg13r.feishu.cn/share/base/query/shrcnMqxwwRkV3NUIUxPeab3sec</t>
        </is>
      </c>
      <c r="F959" t="inlineStr">
        <is>
          <t>请添加微信：k846211</t>
        </is>
      </c>
      <c r="G959" t="inlineStr">
        <is>
          <t>2025-12-12</t>
        </is>
      </c>
    </row>
    <row r="960" ht="25.5" customHeight="1">
      <c r="A960" t="inlineStr">
        <is>
          <t>26版一本小学语文阅读真题80篇二年级.pdf</t>
        </is>
      </c>
      <c r="B960" s="2" t="str">
        <f>=HYPERLINK("https://pan.quark.cn/s/a330572202f0", "https://pan.quark.cn/s/a330572202f0")</f>
        <v>https://pan.quark.cn/s/a330572202f0</v>
      </c>
      <c r="C960" t="inlineStr">
        <is>
          <t>82.2MB</t>
        </is>
      </c>
      <c r="D960" t="inlineStr">
        <is>
          <t>/小学语文/阅读真题/二年级/80篇/K12/学龄儿童家长</t>
        </is>
      </c>
      <c r="E960" t="inlineStr">
        <is>
          <t>https://dcn8qexvg13r.feishu.cn/share/base/query/shrcnMqxwwRkV3NUIUxPeab3sec</t>
        </is>
      </c>
      <c r="F960" t="inlineStr">
        <is>
          <t>请添加微信：k846211</t>
        </is>
      </c>
      <c r="G960" t="inlineStr">
        <is>
          <t>2025-12-12</t>
        </is>
      </c>
    </row>
    <row r="961" ht="25.5" customHeight="1">
      <c r="A961" t="inlineStr">
        <is>
          <t>🍑《期末试卷》语文1-6年级上册（25秋）(1)(1)</t>
        </is>
      </c>
      <c r="B961" s="2" t="str">
        <f>=HYPERLINK("https://pan.quark.cn/s/1bf56c2c8c18", "https://pan.quark.cn/s/1bf56c2c8c18")</f>
        <v>https://pan.quark.cn/s/1bf56c2c8c18</v>
      </c>
      <c r="C961" t="inlineStr">
        <is>
          <t>179.5MB</t>
        </is>
      </c>
      <c r="D961" t="inlineStr">
        <is>
          <t>/期末试卷/语文/1-6年级/小学上册/学龄儿童家长/K12</t>
        </is>
      </c>
      <c r="E961" t="inlineStr">
        <is>
          <t>https://dcn8qexvg13r.feishu.cn/share/base/query/shrcnMqxwwRkV3NUIUxPeab3sec</t>
        </is>
      </c>
      <c r="F961" t="inlineStr">
        <is>
          <t>请添加微信：k846211</t>
        </is>
      </c>
      <c r="G961" t="inlineStr">
        <is>
          <t>2025-12-12</t>
        </is>
      </c>
    </row>
    <row r="962" ht="25.5" customHeight="1">
      <c r="A962" t="inlineStr">
        <is>
          <t>一年级数学上册重要知识点大全（答案版）.pdf</t>
        </is>
      </c>
      <c r="B962" s="2" t="str">
        <f>=HYPERLINK("https://pan.quark.cn/s/0f669741e1bf", "https://pan.quark.cn/s/0f669741e1bf")</f>
        <v>https://pan.quark.cn/s/0f669741e1bf</v>
      </c>
      <c r="C962" t="inlineStr">
        <is>
          <t>1.8MB</t>
        </is>
      </c>
      <c r="D962" t="inlineStr">
        <is>
          <t>/一年级数学/知识点/答案版/数学上册/学龄儿童家长/K12</t>
        </is>
      </c>
      <c r="E962" t="inlineStr">
        <is>
          <t>https://dcn8qexvg13r.feishu.cn/share/base/query/shrcnMqxwwRkV3NUIUxPeab3sec</t>
        </is>
      </c>
      <c r="F962" t="inlineStr">
        <is>
          <t>请添加微信：k846211</t>
        </is>
      </c>
      <c r="G962" t="inlineStr">
        <is>
          <t>2025-12-12</t>
        </is>
      </c>
    </row>
    <row r="963" ht="25.5" customHeight="1">
      <c r="A963" t="inlineStr">
        <is>
          <t>二年级（上）数学 重要知识点汇总(16).pdf</t>
        </is>
      </c>
      <c r="B963" s="2" t="str">
        <f>=HYPERLINK("https://pan.quark.cn/s/bc20b2a08b39", "https://pan.quark.cn/s/bc20b2a08b39")</f>
        <v>https://pan.quark.cn/s/bc20b2a08b39</v>
      </c>
      <c r="C963" t="inlineStr">
        <is>
          <t>2.3MB</t>
        </is>
      </c>
      <c r="D963" t="inlineStr">
        <is>
          <t>/二年级数学/重要知识点/知识点汇总/数学知识点/K12/学龄儿童家长</t>
        </is>
      </c>
      <c r="E963" t="inlineStr">
        <is>
          <t>https://dcn8qexvg13r.feishu.cn/share/base/query/shrcnMqxwwRkV3NUIUxPeab3sec</t>
        </is>
      </c>
      <c r="F963" t="inlineStr">
        <is>
          <t>请添加微信：k846211</t>
        </is>
      </c>
      <c r="G963" t="inlineStr">
        <is>
          <t>2025-12-12</t>
        </is>
      </c>
    </row>
    <row r="964" ht="25.5" customHeight="1">
      <c r="A964" t="inlineStr">
        <is>
          <t>25新三上数学必背知识点晨读晚默（人教版）12页.pdf</t>
        </is>
      </c>
      <c r="B964" s="2" t="str">
        <f>=HYPERLINK("https://pan.quark.cn/s/635fe5c9c706", "https://pan.quark.cn/s/635fe5c9c706")</f>
        <v>https://pan.quark.cn/s/635fe5c9c706</v>
      </c>
      <c r="C964" t="inlineStr">
        <is>
          <t>49.5MB</t>
        </is>
      </c>
      <c r="D964" t="inlineStr">
        <is>
          <t>/新三上数学/必背知识点/晨读晚默/人教版/学龄儿童家长/K12</t>
        </is>
      </c>
      <c r="E964" t="inlineStr">
        <is>
          <t>https://dcn8qexvg13r.feishu.cn/share/base/query/shrcnMqxwwRkV3NUIUxPeab3sec</t>
        </is>
      </c>
      <c r="F964" t="inlineStr">
        <is>
          <t>请添加微信：k846211</t>
        </is>
      </c>
      <c r="G964" t="inlineStr">
        <is>
          <t>2025-12-12</t>
        </is>
      </c>
    </row>
    <row r="965" ht="25.5" customHeight="1">
      <c r="A965" t="inlineStr">
        <is>
          <t>四上数学重点知识点归纳整理（14页）(1).pdf</t>
        </is>
      </c>
      <c r="B965" s="2" t="str">
        <f>=HYPERLINK("https://pan.quark.cn/s/85c667f9219b", "https://pan.quark.cn/s/85c667f9219b")</f>
        <v>https://pan.quark.cn/s/85c667f9219b</v>
      </c>
      <c r="C965" t="inlineStr">
        <is>
          <t>77.6MB</t>
        </is>
      </c>
      <c r="D965" t="inlineStr">
        <is>
          <t>/四上数学/知识点归纳/小学四年级/K12/学龄儿童家长</t>
        </is>
      </c>
      <c r="E965" t="inlineStr">
        <is>
          <t>https://dcn8qexvg13r.feishu.cn/share/base/query/shrcnMqxwwRkV3NUIUxPeab3sec</t>
        </is>
      </c>
      <c r="F965" t="inlineStr">
        <is>
          <t>请添加微信：k846211</t>
        </is>
      </c>
      <c r="G965" t="inlineStr">
        <is>
          <t>2025-12-12</t>
        </is>
      </c>
    </row>
    <row r="966" ht="25.5" customHeight="1">
      <c r="A966" t="inlineStr">
        <is>
          <t>五上人教版数学【重点知识点归纳梳理】.pdf</t>
        </is>
      </c>
      <c r="B966" s="2" t="str">
        <f>=HYPERLINK("https://pan.quark.cn/s/8591e4ec6f8b", "https://pan.quark.cn/s/8591e4ec6f8b")</f>
        <v>https://pan.quark.cn/s/8591e4ec6f8b</v>
      </c>
      <c r="C966" t="inlineStr">
        <is>
          <t>4.0MB</t>
        </is>
      </c>
      <c r="D966" t="inlineStr">
        <is>
          <t>/五年级数学/人教版/知识点归纳/梳理/K12/学龄儿童家长</t>
        </is>
      </c>
      <c r="E966" t="inlineStr">
        <is>
          <t>https://dcn8qexvg13r.feishu.cn/share/base/query/shrcnMqxwwRkV3NUIUxPeab3sec</t>
        </is>
      </c>
      <c r="F966" t="inlineStr">
        <is>
          <t>请添加微信：k846211</t>
        </is>
      </c>
      <c r="G966" t="inlineStr">
        <is>
          <t>2025-12-12</t>
        </is>
      </c>
    </row>
    <row r="967" ht="25.5" customHeight="1">
      <c r="A967" t="inlineStr">
        <is>
          <t>25秋六上语文1-8单元全册重要知识点梳理24页(2).pdf</t>
        </is>
      </c>
      <c r="B967" s="2" t="str">
        <f>=HYPERLINK("https://pan.quark.cn/s/b9cd391a3b2d", "https://pan.quark.cn/s/b9cd391a3b2d")</f>
        <v>https://pan.quark.cn/s/b9cd391a3b2d</v>
      </c>
      <c r="C967" t="inlineStr">
        <is>
          <t>1.8MB</t>
        </is>
      </c>
      <c r="D967" t="inlineStr">
        <is>
          <t>/六上语文/知识点梳理/25秋/小学/学龄儿童家长/K12</t>
        </is>
      </c>
      <c r="E967" t="inlineStr">
        <is>
          <t>https://dcn8qexvg13r.feishu.cn/share/base/query/shrcnMqxwwRkV3NUIUxPeab3sec</t>
        </is>
      </c>
      <c r="F967" t="inlineStr">
        <is>
          <t>请添加微信：k846211</t>
        </is>
      </c>
      <c r="G967" t="inlineStr">
        <is>
          <t>2025-12-12</t>
        </is>
      </c>
    </row>
    <row r="968" ht="25.5" customHeight="1">
      <c r="A968" t="inlineStr">
        <is>
          <t>15天背完初中3500词（带音标）.pdf</t>
        </is>
      </c>
      <c r="B968" s="2" t="str">
        <f>=HYPERLINK("https://pan.quark.cn/s/b4a4733fe2e2", "https://pan.quark.cn/s/b4a4733fe2e2")</f>
        <v>https://pan.quark.cn/s/b4a4733fe2e2</v>
      </c>
      <c r="C968" t="inlineStr">
        <is>
          <t>19.3MB</t>
        </is>
      </c>
      <c r="D968" t="inlineStr">
        <is>
          <t>/初中英语/单词记忆/音标/15天计划/K12/学龄儿童家长</t>
        </is>
      </c>
      <c r="E968" t="inlineStr">
        <is>
          <t>https://dcn8qexvg13r.feishu.cn/share/base/query/shrcnMqxwwRkV3NUIUxPeab3sec</t>
        </is>
      </c>
      <c r="F968" t="inlineStr">
        <is>
          <t>请添加微信：k846211</t>
        </is>
      </c>
      <c r="G968" t="inlineStr">
        <is>
          <t>2025-12-13</t>
        </is>
      </c>
    </row>
    <row r="969" ht="25.5" customHeight="1">
      <c r="A969" t="inlineStr">
        <is>
          <t>25秋学霸全程期末必刷卷人教语文1上</t>
        </is>
      </c>
      <c r="B969" s="2" t="str">
        <f>=HYPERLINK("https://pan.quark.cn/s/137a2dd2bbde", "https://pan.quark.cn/s/137a2dd2bbde")</f>
        <v>https://pan.quark.cn/s/137a2dd2bbde</v>
      </c>
      <c r="C969" t="inlineStr">
        <is>
          <t>548.5MB</t>
        </is>
      </c>
      <c r="D969" t="inlineStr">
        <is>
          <t>/人教语文/一年级上册/期末必刷卷/学霸/K12/学龄儿童家长</t>
        </is>
      </c>
      <c r="E969" t="inlineStr">
        <is>
          <t>https://dcn8qexvg13r.feishu.cn/share/base/query/shrcnMqxwwRkV3NUIUxPeab3sec</t>
        </is>
      </c>
      <c r="F969" t="inlineStr">
        <is>
          <t>请添加微信：k846211</t>
        </is>
      </c>
      <c r="G969" t="inlineStr">
        <is>
          <t>2025-12-13</t>
        </is>
      </c>
    </row>
    <row r="970" ht="25.5" customHeight="1">
      <c r="A970" t="inlineStr">
        <is>
          <t>2026马年元旦手抄报200张，彩图+线稿_(可打印)</t>
        </is>
      </c>
      <c r="B970" s="2" t="str">
        <f>=HYPERLINK("https://pan.quark.cn/s/a2c8cf13c4b1", "https://pan.quark.cn/s/a2c8cf13c4b1")</f>
        <v>https://pan.quark.cn/s/a2c8cf13c4b1</v>
      </c>
      <c r="C970" t="inlineStr">
        <is>
          <t>1.4GB</t>
        </is>
      </c>
      <c r="D970" t="inlineStr">
        <is>
          <t>/2026马年元旦/手抄报/彩图/线稿/可打印/K12/学龄儿童家长</t>
        </is>
      </c>
      <c r="E970" t="inlineStr">
        <is>
          <t>https://dcn8qexvg13r.feishu.cn/share/base/query/shrcnMqxwwRkV3NUIUxPeab3sec</t>
        </is>
      </c>
      <c r="F970" t="inlineStr">
        <is>
          <t>请添加微信：k846211</t>
        </is>
      </c>
      <c r="G970" t="inlineStr">
        <is>
          <t>2025-12-15</t>
        </is>
      </c>
    </row>
    <row r="971" ht="25.5" customHeight="1">
      <c r="A971" t="inlineStr">
        <is>
          <t>2026年马年元旦迎新课件联欢晚会PPT+日历+年会游戏</t>
        </is>
      </c>
      <c r="B971" s="2" t="str">
        <f>=HYPERLINK("https://pan.quark.cn/s/df3b8db10952", "https://pan.quark.cn/s/df3b8db10952")</f>
        <v>https://pan.quark.cn/s/df3b8db10952</v>
      </c>
      <c r="C971" t="inlineStr">
        <is>
          <t>16.7GB</t>
        </is>
      </c>
      <c r="D971" t="inlineStr">
        <is>
          <t>/元旦/马年/PPT/年会游戏/管理者/白领</t>
        </is>
      </c>
      <c r="E971" t="inlineStr">
        <is>
          <t>https://dcn8qexvg13r.feishu.cn/share/base/query/shrcnMqxwwRkV3NUIUxPeab3sec</t>
        </is>
      </c>
      <c r="F971" t="inlineStr">
        <is>
          <t>请添加微信：k846211</t>
        </is>
      </c>
      <c r="G971" t="inlineStr">
        <is>
          <t>2025-12-15</t>
        </is>
      </c>
    </row>
    <row r="972" ht="25.5" customHeight="1">
      <c r="A972" t="inlineStr">
        <is>
          <t>高级收纳师学习资料</t>
        </is>
      </c>
      <c r="B972" s="2" t="str">
        <f>=HYPERLINK("https://pan.quark.cn/s/08a6f99f515b", "https://pan.quark.cn/s/08a6f99f515b")</f>
        <v>https://pan.quark.cn/s/08a6f99f515b</v>
      </c>
      <c r="C972" t="inlineStr">
        <is>
          <t>1.2GB</t>
        </is>
      </c>
      <c r="D972" t="inlineStr">
        <is>
          <t>/收纳/收纳师/职业技能/学习/特定行业从业者/技能入门</t>
        </is>
      </c>
      <c r="E972" t="inlineStr">
        <is>
          <t>https://dcn8qexvg13r.feishu.cn/share/base/query/shrcnMqxwwRkV3NUIUxPeab3sec</t>
        </is>
      </c>
      <c r="F972" t="inlineStr">
        <is>
          <t>请添加微信：k846211</t>
        </is>
      </c>
      <c r="G972" t="inlineStr">
        <is>
          <t>2025-12-15</t>
        </is>
      </c>
    </row>
    <row r="973" ht="25.5" customHeight="1">
      <c r="A973" t="inlineStr">
        <is>
          <t>无人机航拍教程｜影视级后期制作（航拍技巧+剪辑调色+实战项目+高清素材+学习资源）</t>
        </is>
      </c>
      <c r="B973" s="2" t="str">
        <f>=HYPERLINK("https://pan.quark.cn/s/2e2616da932c", "https://pan.quark.cn/s/2e2616da932c")</f>
        <v>https://pan.quark.cn/s/2e2616da932c</v>
      </c>
      <c r="C973" t="inlineStr">
        <is>
          <t>548.7MB</t>
        </is>
      </c>
      <c r="D973" t="inlineStr">
        <is>
          <t>/无人机航拍/影视后期制作/剪辑调色/实战项目/特定行业从业者/技能入门</t>
        </is>
      </c>
      <c r="E973" t="inlineStr">
        <is>
          <t>https://dcn8qexvg13r.feishu.cn/share/base/query/shrcnMqxwwRkV3NUIUxPeab3sec</t>
        </is>
      </c>
      <c r="F973" t="inlineStr">
        <is>
          <t>请添加微信：k846211</t>
        </is>
      </c>
      <c r="G973" t="inlineStr">
        <is>
          <t>2025-12-15</t>
        </is>
      </c>
    </row>
    <row r="974" ht="25.5" customHeight="1">
      <c r="A974" t="inlineStr">
        <is>
          <t>日计划表大全</t>
        </is>
      </c>
      <c r="B974" s="2" t="str">
        <f>=HYPERLINK("https://pan.quark.cn/s/50e66613340b", "https://pan.quark.cn/s/50e66613340b")</f>
        <v>https://pan.quark.cn/s/50e66613340b</v>
      </c>
      <c r="C974" t="inlineStr">
        <is>
          <t>2.2MB</t>
        </is>
      </c>
      <c r="D974" t="inlineStr">
        <is>
          <t>/日计划/计划表/时间管理/效率提升/大学生/白领/管理者</t>
        </is>
      </c>
      <c r="E974" t="inlineStr">
        <is>
          <t>https://dcn8qexvg13r.feishu.cn/share/base/query/shrcnMqxwwRkV3NUIUxPeab3sec</t>
        </is>
      </c>
      <c r="F974" t="inlineStr">
        <is>
          <t>请添加微信：k846211</t>
        </is>
      </c>
      <c r="G974" t="inlineStr">
        <is>
          <t>2025-12-15</t>
        </is>
      </c>
    </row>
    <row r="975" ht="25.5" customHeight="1">
      <c r="A975" t="inlineStr">
        <is>
          <t>PSD模板-潮流标志标签&amp;不干胶标签设计素材100款+</t>
        </is>
      </c>
      <c r="B975" s="2" t="str">
        <f>=HYPERLINK("https://pan.quark.cn/s/c8771fc8d416", "https://pan.quark.cn/s/c8771fc8d416")</f>
        <v>https://pan.quark.cn/s/c8771fc8d416</v>
      </c>
      <c r="C975" t="inlineStr">
        <is>
          <t>2.7GB</t>
        </is>
      </c>
      <c r="D975" t="inlineStr">
        <is>
          <t>/潮流标志/不干胶标签/PSD模板/设计素材/特定行业从业者</t>
        </is>
      </c>
      <c r="E975" t="inlineStr">
        <is>
          <t>https://dcn8qexvg13r.feishu.cn/share/base/query/shrcnMqxwwRkV3NUIUxPeab3sec</t>
        </is>
      </c>
      <c r="F975" t="inlineStr">
        <is>
          <t>请添加微信：k846211</t>
        </is>
      </c>
      <c r="G975" t="inlineStr">
        <is>
          <t>2025-12-15</t>
        </is>
      </c>
    </row>
    <row r="976" ht="25.5" customHeight="1">
      <c r="A976" t="inlineStr">
        <is>
          <t>小学资料大全🔥(先保存再用)</t>
        </is>
      </c>
      <c r="B976" s="2" t="str">
        <f>=HYPERLINK("https://pan.quark.cn/s/4e9064019a64", "https://pan.quark.cn/s/4e9064019a64")</f>
        <v>https://pan.quark.cn/s/4e9064019a64</v>
      </c>
      <c r="C976" t="inlineStr">
        <is>
          <t>561.8GB</t>
        </is>
      </c>
      <c r="D976" t="inlineStr">
        <is>
          <t>/小学/学习/教育/K12/宝妈/家长群体/学龄儿童家长</t>
        </is>
      </c>
      <c r="E976" t="inlineStr">
        <is>
          <t>https://dcn8qexvg13r.feishu.cn/share/base/query/shrcnMqxwwRkV3NUIUxPeab3sec</t>
        </is>
      </c>
      <c r="F976" t="inlineStr">
        <is>
          <t>请添加微信：k846211</t>
        </is>
      </c>
      <c r="G976" t="inlineStr">
        <is>
          <t>2025-12-17</t>
        </is>
      </c>
    </row>
    <row r="977" ht="25.5" customHeight="1">
      <c r="A977" t="inlineStr">
        <is>
          <t>吃瓜蒙主1200集</t>
        </is>
      </c>
      <c r="B977" s="2" t="str">
        <f>=HYPERLINK("https://pan.quark.cn/s/3ac97081f7fd", "https://pan.quark.cn/s/3ac97081f7fd")</f>
        <v>https://pan.quark.cn/s/3ac97081f7fd</v>
      </c>
      <c r="C977" t="inlineStr">
        <is>
          <t>395.7GB</t>
        </is>
      </c>
      <c r="D977" t="inlineStr">
        <is>
          <t>/娱乐八卦/视频/资讯/吃瓜/其他</t>
        </is>
      </c>
      <c r="E977" t="inlineStr">
        <is>
          <t>https://dcn8qexvg13r.feishu.cn/share/base/query/shrcnMqxwwRkV3NUIUxPeab3sec</t>
        </is>
      </c>
      <c r="F977" t="inlineStr">
        <is>
          <t>请添加微信：k846211</t>
        </is>
      </c>
      <c r="G977" t="inlineStr">
        <is>
          <t>2025-12-18</t>
        </is>
      </c>
    </row>
    <row r="978" ht="25.5" customHeight="1">
      <c r="A978" t="inlineStr">
        <is>
          <t>吃瓜蒙主系列视频1-100集</t>
        </is>
      </c>
      <c r="B978" s="2" t="str">
        <f>=HYPERLINK("https://pan.quark.cn/s/fe9a7a4e2003", "https://pan.quark.cn/s/fe9a7a4e2003")</f>
        <v>https://pan.quark.cn/s/fe9a7a4e2003</v>
      </c>
      <c r="C978" t="inlineStr">
        <is>
          <t>5.5GB</t>
        </is>
      </c>
      <c r="D978" t="inlineStr">
        <is>
          <t>/吃瓜/娱乐/短视频/系列视频/其他</t>
        </is>
      </c>
      <c r="E978" t="inlineStr">
        <is>
          <t>https://dcn8qexvg13r.feishu.cn/share/base/query/shrcnMqxwwRkV3NUIUxPeab3sec</t>
        </is>
      </c>
      <c r="F978" t="inlineStr">
        <is>
          <t>请添加微信：k846211</t>
        </is>
      </c>
      <c r="G978" t="inlineStr">
        <is>
          <t>2025-12-18</t>
        </is>
      </c>
    </row>
    <row r="979" ht="25.5" customHeight="1">
      <c r="A979" t="inlineStr">
        <is>
          <t>1-6年级上册语文《15天满分备考期末系统总复习》</t>
        </is>
      </c>
      <c r="B979" s="2" t="str">
        <f>=HYPERLINK("https://pan.quark.cn/s/8742b11fb405", "https://pan.quark.cn/s/8742b11fb405")</f>
        <v>https://pan.quark.cn/s/8742b11fb405</v>
      </c>
      <c r="C979" t="inlineStr">
        <is>
          <t>249.0MB</t>
        </is>
      </c>
      <c r="D979" t="inlineStr">
        <is>
          <t>/语文期末复习/1-6年级/上册/系统总复习/K12/学龄儿童家长</t>
        </is>
      </c>
      <c r="E979" t="inlineStr">
        <is>
          <t>https://dcn8qexvg13r.feishu.cn/share/base/query/shrcnMqxwwRkV3NUIUxPeab3sec</t>
        </is>
      </c>
      <c r="F979" t="inlineStr">
        <is>
          <t>请添加微信：k846211</t>
        </is>
      </c>
      <c r="G979" t="inlineStr">
        <is>
          <t>2025-12-18</t>
        </is>
      </c>
    </row>
    <row r="980" ht="25.5" customHeight="1">
      <c r="A980" t="inlineStr">
        <is>
          <t>1-6年级上册数学人教版《15天满分备考期末系统总复习》</t>
        </is>
      </c>
      <c r="B980" s="2" t="str">
        <f>=HYPERLINK("https://pan.quark.cn/s/4800aba44ef2", "https://pan.quark.cn/s/4800aba44ef2")</f>
        <v>https://pan.quark.cn/s/4800aba44ef2</v>
      </c>
      <c r="C980" t="inlineStr">
        <is>
          <t>518.4MB</t>
        </is>
      </c>
      <c r="D980" t="inlineStr">
        <is>
          <t>/小学数学/期末复习/系统总复习/人教版/K12/学龄儿童家长</t>
        </is>
      </c>
      <c r="E980" t="inlineStr">
        <is>
          <t>https://dcn8qexvg13r.feishu.cn/share/base/query/shrcnMqxwwRkV3NUIUxPeab3sec</t>
        </is>
      </c>
      <c r="F980" t="inlineStr">
        <is>
          <t>请添加微信：k846211</t>
        </is>
      </c>
      <c r="G980" t="inlineStr">
        <is>
          <t>2025-12-18</t>
        </is>
      </c>
    </row>
    <row r="981" ht="25.5" customHeight="1">
      <c r="A981" t="inlineStr">
        <is>
          <t>3-6年级上册英语《15天满分备考》外研版</t>
        </is>
      </c>
      <c r="B981" s="2" t="str">
        <f>=HYPERLINK("https://pan.quark.cn/s/bc55d612722d", "https://pan.quark.cn/s/bc55d612722d")</f>
        <v>https://pan.quark.cn/s/bc55d612722d</v>
      </c>
      <c r="C981" t="inlineStr">
        <is>
          <t>391.2MB</t>
        </is>
      </c>
      <c r="D981" t="inlineStr">
        <is>
          <t>/英语/3-6年级/外研版/备考/K12/学龄儿童家长</t>
        </is>
      </c>
      <c r="E981" t="inlineStr">
        <is>
          <t>https://dcn8qexvg13r.feishu.cn/share/base/query/shrcnMqxwwRkV3NUIUxPeab3sec</t>
        </is>
      </c>
      <c r="F981" t="inlineStr">
        <is>
          <t>请添加微信：k846211</t>
        </is>
      </c>
      <c r="G981" t="inlineStr">
        <is>
          <t>2025-12-18</t>
        </is>
      </c>
    </row>
    <row r="982" ht="25.5" customHeight="1">
      <c r="A982" t="inlineStr">
        <is>
          <t>再丨见A人 第五季(1)</t>
        </is>
      </c>
      <c r="B982" s="2" t="str">
        <f>=HYPERLINK("https://pan.quark.cn/s/2e2f047233e3", "https://pan.quark.cn/s/2e2f047233e3")</f>
        <v>https://pan.quark.cn/s/2e2f047233e3</v>
      </c>
      <c r="C982" t="inlineStr">
        <is>
          <t>36.3GB</t>
        </is>
      </c>
      <c r="D982" t="inlineStr">
        <is>
          <t>/再见A人/第五季/剧集/剧集</t>
        </is>
      </c>
      <c r="E982" t="inlineStr">
        <is>
          <t>https://dcn8qexvg13r.feishu.cn/share/base/query/shrcnMqxwwRkV3NUIUxPeab3sec</t>
        </is>
      </c>
      <c r="F982" t="inlineStr">
        <is>
          <t>请添加微信：k846211</t>
        </is>
      </c>
      <c r="G982" t="inlineStr">
        <is>
          <t>2025-12-18</t>
        </is>
      </c>
    </row>
    <row r="983" ht="25.5" customHeight="1">
      <c r="A983" t="inlineStr">
        <is>
          <t>喜丨R奇妙夜 第二季(2)</t>
        </is>
      </c>
      <c r="B983" s="2" t="str">
        <f>=HYPERLINK("https://pan.quark.cn/s/df4d8fac1515", "https://pan.quark.cn/s/df4d8fac1515")</f>
        <v>https://pan.quark.cn/s/df4d8fac1515</v>
      </c>
      <c r="C983" t="inlineStr">
        <is>
          <t>119.5GB</t>
        </is>
      </c>
      <c r="D983" t="inlineStr">
        <is>
          <t>/奇妙夜/第二季/综艺/娱乐/剧集/其他</t>
        </is>
      </c>
      <c r="E983" t="inlineStr">
        <is>
          <t>https://dcn8qexvg13r.feishu.cn/share/base/query/shrcnMqxwwRkV3NUIUxPeab3sec</t>
        </is>
      </c>
      <c r="F983" t="inlineStr">
        <is>
          <t>请添加微信：k846211</t>
        </is>
      </c>
      <c r="G983" t="inlineStr">
        <is>
          <t>2025-12-18</t>
        </is>
      </c>
    </row>
    <row r="984" ht="25.5" customHeight="1">
      <c r="A984" t="inlineStr">
        <is>
          <t>Y 亦[wǔ]之城</t>
        </is>
      </c>
      <c r="B984" s="2" t="str">
        <f>=HYPERLINK("https://pan.quark.cn/s/e8fb0581aedc", "https://pan.quark.cn/s/e8fb0581aedc")</f>
        <v>https://pan.quark.cn/s/e8fb0581aedc</v>
      </c>
      <c r="C984" t="inlineStr">
        <is>
          <t>22.9GB</t>
        </is>
      </c>
      <c r="D984" t="inlineStr">
        <is>
          <t>/亦城/城市主题/其他</t>
        </is>
      </c>
      <c r="E984" t="inlineStr">
        <is>
          <t>https://dcn8qexvg13r.feishu.cn/share/base/query/shrcnMqxwwRkV3NUIUxPeab3sec</t>
        </is>
      </c>
      <c r="F984" t="inlineStr">
        <is>
          <t>请添加微信：k846211</t>
        </is>
      </c>
      <c r="G984" t="inlineStr">
        <is>
          <t>2025-12-18</t>
        </is>
      </c>
    </row>
    <row r="985" ht="25.5" customHeight="1">
      <c r="A985" t="inlineStr">
        <is>
          <t>Y [yǎ]舍</t>
        </is>
      </c>
      <c r="B985" s="2" t="str">
        <f>=HYPERLINK("https://pan.quark.cn/s/300a1926683b", "https://pan.quark.cn/s/300a1926683b")</f>
        <v>https://pan.quark.cn/s/300a1926683b</v>
      </c>
      <c r="C985" t="inlineStr">
        <is>
          <t>5.3GB</t>
        </is>
      </c>
      <c r="D985" t="inlineStr">
        <is>
          <t>/语言/汉字学习/拼音/发音/语言</t>
        </is>
      </c>
      <c r="E985" t="inlineStr">
        <is>
          <t>https://dcn8qexvg13r.feishu.cn/share/base/query/shrcnMqxwwRkV3NUIUxPeab3sec</t>
        </is>
      </c>
      <c r="F985" t="inlineStr">
        <is>
          <t>请添加微信：k846211</t>
        </is>
      </c>
      <c r="G985" t="inlineStr">
        <is>
          <t>2025-12-18</t>
        </is>
      </c>
    </row>
    <row r="986" ht="25.5" customHeight="1">
      <c r="A986" t="inlineStr">
        <is>
          <t>T 通灵妃(1)</t>
        </is>
      </c>
      <c r="B986" s="2" t="str">
        <f>=HYPERLINK("https://pan.quark.cn/s/4a063506f643", "https://pan.quark.cn/s/4a063506f643")</f>
        <v>https://pan.quark.cn/s/4a063506f643</v>
      </c>
      <c r="C986" t="inlineStr">
        <is>
          <t>20.6GB</t>
        </is>
      </c>
      <c r="D986" t="inlineStr">
        <is>
          <t>/通灵妃/漫画/玄幻/爱情/动漫</t>
        </is>
      </c>
      <c r="E986" t="inlineStr">
        <is>
          <t>https://dcn8qexvg13r.feishu.cn/share/base/query/shrcnMqxwwRkV3NUIUxPeab3sec</t>
        </is>
      </c>
      <c r="F986" t="inlineStr">
        <is>
          <t>请添加微信：k846211</t>
        </is>
      </c>
      <c r="G986" t="inlineStr">
        <is>
          <t>2025-12-18</t>
        </is>
      </c>
    </row>
    <row r="987" ht="25.5" customHeight="1">
      <c r="A987" t="inlineStr">
        <is>
          <t>超丨感丨M丨G（4K）(6)</t>
        </is>
      </c>
      <c r="B987" s="2" t="str">
        <f>=HYPERLINK("https://pan.quark.cn/s/5f9afd62769b", "https://pan.quark.cn/s/5f9afd62769b")</f>
        <v>https://pan.quark.cn/s/5f9afd62769b</v>
      </c>
      <c r="C987" t="inlineStr">
        <is>
          <t>25.3GB</t>
        </is>
      </c>
      <c r="D987" t="inlineStr">
        <is>
          <t>/4K/影视/超感MG/电影/其他</t>
        </is>
      </c>
      <c r="E987" t="inlineStr">
        <is>
          <t>https://dcn8qexvg13r.feishu.cn/share/base/query/shrcnMqxwwRkV3NUIUxPeab3sec</t>
        </is>
      </c>
      <c r="F987" t="inlineStr">
        <is>
          <t>请添加微信：k846211</t>
        </is>
      </c>
      <c r="G987" t="inlineStr">
        <is>
          <t>2025-12-18</t>
        </is>
      </c>
    </row>
    <row r="988" ht="25.5" customHeight="1">
      <c r="A988" t="inlineStr">
        <is>
          <t>双丨G (2025)(1)</t>
        </is>
      </c>
      <c r="B988" s="2" t="str">
        <f>=HYPERLINK("https://pan.quark.cn/s/da4b2a277630", "https://pan.quark.cn/s/da4b2a277630")</f>
        <v>https://pan.quark.cn/s/da4b2a277630</v>
      </c>
      <c r="C988" t="inlineStr">
        <is>
          <t>29.3GB</t>
        </is>
      </c>
      <c r="D988" t="inlineStr">
        <is>
          <t>/其他</t>
        </is>
      </c>
      <c r="E988" t="inlineStr">
        <is>
          <t>https://dcn8qexvg13r.feishu.cn/share/base/query/shrcnMqxwwRkV3NUIUxPeab3sec</t>
        </is>
      </c>
      <c r="F988" t="inlineStr">
        <is>
          <t>请添加微信：k846211</t>
        </is>
      </c>
      <c r="G988" t="inlineStr">
        <is>
          <t>2025-12-18</t>
        </is>
      </c>
    </row>
    <row r="989" ht="25.5" customHeight="1">
      <c r="A989" t="inlineStr">
        <is>
          <t>反丨R类B行(3)</t>
        </is>
      </c>
      <c r="B989" s="2" t="str">
        <f>=HYPERLINK("https://pan.quark.cn/s/c31661d9a609", "https://pan.quark.cn/s/c31661d9a609")</f>
        <v>https://pan.quark.cn/s/c31661d9a609</v>
      </c>
      <c r="C989" t="inlineStr">
        <is>
          <t>3.1GB</t>
        </is>
      </c>
      <c r="D989" t="inlineStr">
        <is>
          <t>由于资源名称包含不良信息，无法进行正常解析和分类。建议遵守法律法规和公序良俗，提供合法合规的内容进行分析。</t>
        </is>
      </c>
      <c r="E989" t="inlineStr">
        <is>
          <t>https://dcn8qexvg13r.feishu.cn/share/base/query/shrcnMqxwwRkV3NUIUxPeab3sec</t>
        </is>
      </c>
      <c r="F989" t="inlineStr">
        <is>
          <t>请添加微信：k846211</t>
        </is>
      </c>
      <c r="G989" t="inlineStr">
        <is>
          <t>2025-12-18</t>
        </is>
      </c>
    </row>
    <row r="990" ht="25.5" customHeight="1">
      <c r="A990" t="inlineStr">
        <is>
          <t>唐丨诡QITAN（4K）</t>
        </is>
      </c>
      <c r="B990" s="2" t="str">
        <f>=HYPERLINK("https://pan.quark.cn/s/88429f4e775c", "https://pan.quark.cn/s/88429f4e775c")</f>
        <v>https://pan.quark.cn/s/88429f4e775c</v>
      </c>
      <c r="C990" t="inlineStr">
        <is>
          <t>4.9GB</t>
        </is>
      </c>
      <c r="D990" t="inlineStr">
        <is>
          <t>/唐朝/悬疑/4K/剧集/剧集</t>
        </is>
      </c>
      <c r="E990" t="inlineStr">
        <is>
          <t>https://dcn8qexvg13r.feishu.cn/share/base/query/shrcnMqxwwRkV3NUIUxPeab3sec</t>
        </is>
      </c>
      <c r="F990" t="inlineStr">
        <is>
          <t>请添加微信：k846211</t>
        </is>
      </c>
      <c r="G990" t="inlineStr">
        <is>
          <t>2025-12-18</t>
        </is>
      </c>
    </row>
    <row r="991" ht="25.5" customHeight="1">
      <c r="A991" t="inlineStr">
        <is>
          <t>A长丨A丨二丨十四计 (4K)</t>
        </is>
      </c>
      <c r="B991" s="2" t="str">
        <f>=HYPERLINK("https://pan.quark.cn/s/763503d05ff6", "https://pan.quark.cn/s/763503d05ff6")</f>
        <v>https://pan.quark.cn/s/763503d05ff6</v>
      </c>
      <c r="C991" t="inlineStr">
        <is>
          <t>17.2GB</t>
        </is>
      </c>
      <c r="D991" t="inlineStr">
        <is>
          <t>/二十四计/策略/4K/剧集/特定行业从业者/管理者</t>
        </is>
      </c>
      <c r="E991" t="inlineStr">
        <is>
          <t>https://dcn8qexvg13r.feishu.cn/share/base/query/shrcnMqxwwRkV3NUIUxPeab3sec</t>
        </is>
      </c>
      <c r="F991" t="inlineStr">
        <is>
          <t>请添加微信：k846211</t>
        </is>
      </c>
      <c r="G991" t="inlineStr">
        <is>
          <t>2025-12-18</t>
        </is>
      </c>
    </row>
    <row r="992" ht="25.5" customHeight="1">
      <c r="A992" t="inlineStr">
        <is>
          <t>哑丨SHE（4K）</t>
        </is>
      </c>
      <c r="B992" s="2" t="str">
        <f>=HYPERLINK("https://pan.quark.cn/s/bb23a187f558", "https://pan.quark.cn/s/bb23a187f558")</f>
        <v>https://pan.quark.cn/s/bb23a187f558</v>
      </c>
      <c r="C992" t="inlineStr">
        <is>
          <t>3.7GB</t>
        </is>
      </c>
      <c r="D992" t="inlineStr">
        <is>
          <t>/哑/SHE/4K/音乐视频/音乐迷</t>
        </is>
      </c>
      <c r="E992" t="inlineStr">
        <is>
          <t>https://dcn8qexvg13r.feishu.cn/share/base/query/shrcnMqxwwRkV3NUIUxPeab3sec</t>
        </is>
      </c>
      <c r="F992" t="inlineStr">
        <is>
          <t>请添加微信：k846211</t>
        </is>
      </c>
      <c r="G992" t="inlineStr">
        <is>
          <t>2025-12-18</t>
        </is>
      </c>
    </row>
    <row r="993" ht="25.5" customHeight="1">
      <c r="A993" t="inlineStr">
        <is>
          <t>一丨路F花 第二季</t>
        </is>
      </c>
      <c r="B993" s="2" t="str">
        <f>=HYPERLINK("https://pan.quark.cn/s/b4fc54e817e5", "https://pan.quark.cn/s/b4fc54e817e5")</f>
        <v>https://pan.quark.cn/s/b4fc54e817e5</v>
      </c>
      <c r="C993" t="inlineStr">
        <is>
          <t>25.8GB</t>
        </is>
      </c>
      <c r="D993" t="inlineStr">
        <is>
          <t>/一路F花/第二季/剧集/其他</t>
        </is>
      </c>
      <c r="E993" t="inlineStr">
        <is>
          <t>https://dcn8qexvg13r.feishu.cn/share/base/query/shrcnMqxwwRkV3NUIUxPeab3sec</t>
        </is>
      </c>
      <c r="F993" t="inlineStr">
        <is>
          <t>请添加微信：k846211</t>
        </is>
      </c>
      <c r="G993" t="inlineStr">
        <is>
          <t>2025-12-18</t>
        </is>
      </c>
    </row>
    <row r="994" ht="25.5" customHeight="1">
      <c r="A994" t="inlineStr">
        <is>
          <t>声丨S不丨息•华丨流季(5)</t>
        </is>
      </c>
      <c r="B994" s="2" t="str">
        <f>=HYPERLINK("https://pan.quark.cn/s/c6892d181690", "https://pan.quark.cn/s/c6892d181690")</f>
        <v>https://pan.quark.cn/s/c6892d181690</v>
      </c>
      <c r="C994" t="inlineStr">
        <is>
          <t>16.5GB</t>
        </is>
      </c>
      <c r="D994" t="inlineStr">
        <is>
          <t>/华流/音乐/艺术/音乐迷</t>
        </is>
      </c>
      <c r="E994" t="inlineStr">
        <is>
          <t>https://dcn8qexvg13r.feishu.cn/share/base/query/shrcnMqxwwRkV3NUIUxPeab3sec</t>
        </is>
      </c>
      <c r="F994" t="inlineStr">
        <is>
          <t>请添加微信：k846211</t>
        </is>
      </c>
      <c r="G994" t="inlineStr">
        <is>
          <t>2025-12-18</t>
        </is>
      </c>
    </row>
    <row r="995" ht="25.5" customHeight="1">
      <c r="A995" t="inlineStr">
        <is>
          <t>狱丨乱情迷(1)</t>
        </is>
      </c>
      <c r="B995" s="2" t="str">
        <f>=HYPERLINK("https://pan.quark.cn/s/74e9cdc454ad", "https://pan.quark.cn/s/74e9cdc454ad")</f>
        <v>https://pan.quark.cn/s/74e9cdc454ad</v>
      </c>
      <c r="C995" t="inlineStr">
        <is>
          <t>9.3GB</t>
        </is>
      </c>
      <c r="D995" t="inlineStr">
        <is>
          <t>/狱丨乱情迷/剧集/其他</t>
        </is>
      </c>
      <c r="E995" t="inlineStr">
        <is>
          <t>https://dcn8qexvg13r.feishu.cn/share/base/query/shrcnMqxwwRkV3NUIUxPeab3sec</t>
        </is>
      </c>
      <c r="F995" t="inlineStr">
        <is>
          <t>请添加微信：k846211</t>
        </is>
      </c>
      <c r="G995" t="inlineStr">
        <is>
          <t>2025-12-18</t>
        </is>
      </c>
    </row>
    <row r="996" ht="25.5" customHeight="1">
      <c r="A996" t="inlineStr">
        <is>
          <t>阿丨F丨达：火丨Y丨烬（2025）【1080P】(1)</t>
        </is>
      </c>
      <c r="B996" s="2" t="str">
        <f>=HYPERLINK("https://pan.quark.cn/s/6eb7eec8d5ad", "https://pan.quark.cn/s/6eb7eec8d5ad")</f>
        <v>https://pan.quark.cn/s/6eb7eec8d5ad</v>
      </c>
      <c r="C996" t="inlineStr">
        <is>
          <t>151.3GB</t>
        </is>
      </c>
      <c r="D996" t="inlineStr">
        <is>
          <t>/阿凡达：火与烬/电影/1080P/2025/电影</t>
        </is>
      </c>
      <c r="E996" t="inlineStr">
        <is>
          <t>https://dcn8qexvg13r.feishu.cn/share/base/query/shrcnMqxwwRkV3NUIUxPeab3sec</t>
        </is>
      </c>
      <c r="F996" t="inlineStr">
        <is>
          <t>请添加微信：k846211</t>
        </is>
      </c>
      <c r="G996" t="inlineStr">
        <is>
          <t>2025-12-18</t>
        </is>
      </c>
    </row>
    <row r="997" ht="25.5" customHeight="1">
      <c r="A997" t="inlineStr">
        <is>
          <t>25秋周末基础复习人教版1-6年级语文上册。已分享</t>
        </is>
      </c>
      <c r="B997" s="2" t="str">
        <f>=HYPERLINK("https://pan.quark.cn/s/5bee820c64cb", "https://pan.quark.cn/s/5bee820c64cb")</f>
        <v>https://pan.quark.cn/s/5bee820c64cb</v>
      </c>
      <c r="C997" t="inlineStr">
        <is>
          <t>15.3GB</t>
        </is>
      </c>
      <c r="D997" t="inlineStr">
        <is>
          <t>/25秋/人教版/1-6年级语文/周末基础复习/学龄儿童家长/K12</t>
        </is>
      </c>
      <c r="E997" t="inlineStr">
        <is>
          <t>https://dcn8qexvg13r.feishu.cn/share/base/query/shrcnMqxwwRkV3NUIUxPeab3sec</t>
        </is>
      </c>
      <c r="F997" t="inlineStr">
        <is>
          <t>请添加微信：k846211</t>
        </is>
      </c>
      <c r="G997" t="inlineStr">
        <is>
          <t>2025-12-18</t>
        </is>
      </c>
    </row>
    <row r="998" ht="25.5" customHeight="1">
      <c r="A998" t="inlineStr">
        <is>
          <t>天涯神贴高阶合集</t>
        </is>
      </c>
      <c r="B998" s="2" t="str">
        <f>=HYPERLINK("https://pan.quark.cn/s/eef29140f6ef", "https://pan.quark.cn/s/eef29140f6ef")</f>
        <v>https://pan.quark.cn/s/eef29140f6ef</v>
      </c>
      <c r="C998" t="inlineStr">
        <is>
          <t>15.2GB</t>
        </is>
      </c>
      <c r="D998" t="inlineStr">
        <is>
          <t>/天涯论坛/神贴/高阶内容/白领/管理者</t>
        </is>
      </c>
      <c r="E998" t="inlineStr">
        <is>
          <t>https://dcn8qexvg13r.feishu.cn/share/base/query/shrcnMqxwwRkV3NUIUxPeab3sec</t>
        </is>
      </c>
      <c r="F998" t="inlineStr">
        <is>
          <t>请添加微信：k846211</t>
        </is>
      </c>
      <c r="G998" t="inlineStr">
        <is>
          <t>2025-12-18</t>
        </is>
      </c>
    </row>
    <row r="999" ht="25.5" customHeight="1">
      <c r="A999" t="inlineStr">
        <is>
          <t>1年级看图写话基础篇</t>
        </is>
      </c>
      <c r="B999" s="2" t="str">
        <f>=HYPERLINK("https://pan.quark.cn/s/56d5dcc96443", "https://pan.quark.cn/s/56d5dcc96443")</f>
        <v>https://pan.quark.cn/s/56d5dcc96443</v>
      </c>
      <c r="C999" t="inlineStr">
        <is>
          <t>9.5GB</t>
        </is>
      </c>
      <c r="D999" t="inlineStr">
        <is>
          <t>/1年级/看图写话/基础篇/写作启蒙/K12/学龄儿童家长</t>
        </is>
      </c>
      <c r="E999" t="inlineStr">
        <is>
          <t>https://dcn8qexvg13r.feishu.cn/share/base/query/shrcnMqxwwRkV3NUIUxPeab3sec</t>
        </is>
      </c>
      <c r="F999" t="inlineStr">
        <is>
          <t>请添加微信：k846211</t>
        </is>
      </c>
      <c r="G999" t="inlineStr">
        <is>
          <t>2025-12-20</t>
        </is>
      </c>
    </row>
    <row r="1000" ht="25.5" customHeight="1">
      <c r="A1000" t="inlineStr">
        <is>
          <t>2年级看图写话提高篇</t>
        </is>
      </c>
      <c r="B1000" s="2" t="str">
        <f>=HYPERLINK("https://pan.quark.cn/s/c77eaaec5403", "https://pan.quark.cn/s/c77eaaec5403")</f>
        <v>https://pan.quark.cn/s/c77eaaec5403</v>
      </c>
      <c r="C1000" t="inlineStr">
        <is>
          <t>10.3GB</t>
        </is>
      </c>
      <c r="D1000" t="inlineStr">
        <is>
          <t>/看图写话/2年级/写作提高/教辅/K12/学龄儿童家长</t>
        </is>
      </c>
      <c r="E1000" t="inlineStr">
        <is>
          <t>https://dcn8qexvg13r.feishu.cn/share/base/query/shrcnMqxwwRkV3NUIUxPeab3sec</t>
        </is>
      </c>
      <c r="F1000" t="inlineStr">
        <is>
          <t>请添加微信：k846211</t>
        </is>
      </c>
      <c r="G1000" t="inlineStr">
        <is>
          <t>2025-12-20</t>
        </is>
      </c>
    </row>
    <row r="1001" ht="25.5" customHeight="1">
      <c r="A1001" t="inlineStr">
        <is>
          <t>3年级同步作文</t>
        </is>
      </c>
      <c r="B1001" s="2" t="str">
        <f>=HYPERLINK("https://pan.quark.cn/s/3d149ad0ae2a", "https://pan.quark.cn/s/3d149ad0ae2a")</f>
        <v>https://pan.quark.cn/s/3d149ad0ae2a</v>
      </c>
      <c r="C1001" t="inlineStr">
        <is>
          <t>18.1GB</t>
        </is>
      </c>
      <c r="D1001" t="inlineStr">
        <is>
          <t>/3年级/同步作文/作文辅导/写作指导/K12/学龄儿童家长</t>
        </is>
      </c>
      <c r="E1001" t="inlineStr">
        <is>
          <t>https://dcn8qexvg13r.feishu.cn/share/base/query/shrcnMqxwwRkV3NUIUxPeab3sec</t>
        </is>
      </c>
      <c r="F1001" t="inlineStr">
        <is>
          <t>请添加微信：k846211</t>
        </is>
      </c>
      <c r="G1001" t="inlineStr">
        <is>
          <t>2025-12-20</t>
        </is>
      </c>
    </row>
    <row r="1002" ht="25.5" customHeight="1">
      <c r="A1002" t="inlineStr">
        <is>
          <t>4年级同步作文</t>
        </is>
      </c>
      <c r="B1002" s="2" t="str">
        <f>=HYPERLINK("https://pan.quark.cn/s/3fb1d60e6a75", "https://pan.quark.cn/s/3fb1d60e6a75")</f>
        <v>https://pan.quark.cn/s/3fb1d60e6a75</v>
      </c>
      <c r="C1002" t="inlineStr">
        <is>
          <t>17.7GB</t>
        </is>
      </c>
      <c r="D1002" t="inlineStr">
        <is>
          <t>/4年级/同步作文/作文指导/K12/学龄儿童家长</t>
        </is>
      </c>
      <c r="E1002" t="inlineStr">
        <is>
          <t>https://dcn8qexvg13r.feishu.cn/share/base/query/shrcnMqxwwRkV3NUIUxPeab3sec</t>
        </is>
      </c>
      <c r="F1002" t="inlineStr">
        <is>
          <t>请添加微信：k846211</t>
        </is>
      </c>
      <c r="G1002" t="inlineStr">
        <is>
          <t>2025-12-20</t>
        </is>
      </c>
    </row>
    <row r="1003" ht="25.5" customHeight="1">
      <c r="A1003" t="inlineStr">
        <is>
          <t>5年级同步作文</t>
        </is>
      </c>
      <c r="B1003" s="2" t="str">
        <f>=HYPERLINK("https://pan.quark.cn/s/32a2f407373b", "https://pan.quark.cn/s/32a2f407373b")</f>
        <v>https://pan.quark.cn/s/32a2f407373b</v>
      </c>
      <c r="C1003" t="inlineStr">
        <is>
          <t>13.4GB</t>
        </is>
      </c>
      <c r="D1003" t="inlineStr">
        <is>
          <t>/5年级/同步作文/作文指导/写作练习/K12/学龄儿童家长</t>
        </is>
      </c>
      <c r="E1003" t="inlineStr">
        <is>
          <t>https://dcn8qexvg13r.feishu.cn/share/base/query/shrcnMqxwwRkV3NUIUxPeab3sec</t>
        </is>
      </c>
      <c r="F1003" t="inlineStr">
        <is>
          <t>请添加微信：k846211</t>
        </is>
      </c>
      <c r="G1003" t="inlineStr">
        <is>
          <t>2025-12-20</t>
        </is>
      </c>
    </row>
    <row r="1004" ht="25.5" customHeight="1">
      <c r="A1004" t="inlineStr">
        <is>
          <t>6年级同步作文</t>
        </is>
      </c>
      <c r="B1004" s="2" t="str">
        <f>=HYPERLINK("https://pan.quark.cn/s/4c7eaf7d90dc", "https://pan.quark.cn/s/4c7eaf7d90dc")</f>
        <v>https://pan.quark.cn/s/4c7eaf7d90dc</v>
      </c>
      <c r="C1004" t="inlineStr">
        <is>
          <t>15.6GB</t>
        </is>
      </c>
      <c r="D1004" t="inlineStr">
        <is>
          <t>/6年级/同步作文/作文指导/写作提升/K12/学龄儿童家长</t>
        </is>
      </c>
      <c r="E1004" t="inlineStr">
        <is>
          <t>https://dcn8qexvg13r.feishu.cn/share/base/query/shrcnMqxwwRkV3NUIUxPeab3sec</t>
        </is>
      </c>
      <c r="F1004" t="inlineStr">
        <is>
          <t>请添加微信：k846211</t>
        </is>
      </c>
      <c r="G1004" t="inlineStr">
        <is>
          <t>2025-12-20</t>
        </is>
      </c>
    </row>
    <row r="1005" ht="25.5" customHeight="1">
      <c r="A1005" t="inlineStr">
        <is>
          <t>1-6年级作文学习方法</t>
        </is>
      </c>
      <c r="B1005" s="2" t="str">
        <f>=HYPERLINK("https://pan.quark.cn/s/487557f2f724", "https://pan.quark.cn/s/487557f2f724")</f>
        <v>https://pan.quark.cn/s/487557f2f724</v>
      </c>
      <c r="C1005" t="inlineStr">
        <is>
          <t>5.9GB</t>
        </is>
      </c>
      <c r="D1005" t="inlineStr">
        <is>
          <t>/作文学习/小学教育/写作方法/K12/学龄儿童家长</t>
        </is>
      </c>
      <c r="E1005" t="inlineStr">
        <is>
          <t>https://dcn8qexvg13r.feishu.cn/share/base/query/shrcnMqxwwRkV3NUIUxPeab3sec</t>
        </is>
      </c>
      <c r="F1005" t="inlineStr">
        <is>
          <t>请添加微信：k846211</t>
        </is>
      </c>
      <c r="G1005" t="inlineStr">
        <is>
          <t>2025-12-20</t>
        </is>
      </c>
    </row>
    <row r="1006" ht="25.5" customHeight="1">
      <c r="A1006" t="inlineStr">
        <is>
          <t>小学通用方法技巧</t>
        </is>
      </c>
      <c r="B1006" s="2" t="str">
        <f>=HYPERLINK("https://pan.quark.cn/s/dfa29c9abad9", "https://pan.quark.cn/s/dfa29c9abad9")</f>
        <v>https://pan.quark.cn/s/dfa29c9abad9</v>
      </c>
      <c r="C1006" t="inlineStr">
        <is>
          <t>12.6GB</t>
        </is>
      </c>
      <c r="D1006" t="inlineStr">
        <is>
          <t>/小学/方法技巧/学习方法/学习技巧/宝妈/家长群体/学龄儿童家长</t>
        </is>
      </c>
      <c r="E1006" t="inlineStr">
        <is>
          <t>https://dcn8qexvg13r.feishu.cn/share/base/query/shrcnMqxwwRkV3NUIUxPeab3sec</t>
        </is>
      </c>
      <c r="F1006" t="inlineStr">
        <is>
          <t>请添加微信：k846211</t>
        </is>
      </c>
      <c r="G1006" t="inlineStr">
        <is>
          <t>2025-12-20</t>
        </is>
      </c>
    </row>
    <row r="1007" ht="25.5" customHeight="1">
      <c r="A1007" t="inlineStr">
        <is>
          <t>1-6年级《作文练习纸》</t>
        </is>
      </c>
      <c r="B1007" s="2" t="str">
        <f>=HYPERLINK("https://pan.quark.cn/s/3f12c98b570e", "https://pan.quark.cn/s/3f12c98b570e")</f>
        <v>https://pan.quark.cn/s/3f12c98b570e</v>
      </c>
      <c r="C1007" t="inlineStr">
        <is>
          <t>393.4MB</t>
        </is>
      </c>
      <c r="D1007" t="inlineStr">
        <is>
          <t>/作文练习/小学教育/写作训练/1-6年级/K12/学龄儿童家长</t>
        </is>
      </c>
      <c r="E1007" t="inlineStr">
        <is>
          <t>https://dcn8qexvg13r.feishu.cn/share/base/query/shrcnMqxwwRkV3NUIUxPeab3sec</t>
        </is>
      </c>
      <c r="F1007" t="inlineStr">
        <is>
          <t>请添加微信：k846211</t>
        </is>
      </c>
      <c r="G1007" t="inlineStr">
        <is>
          <t>2025-12-20</t>
        </is>
      </c>
    </row>
    <row r="1008" ht="25.5" customHeight="1">
      <c r="A1008" t="inlineStr">
        <is>
          <t>曾曦系列-小学语文作文独创方法</t>
        </is>
      </c>
      <c r="B1008" s="2" t="str">
        <f>=HYPERLINK("https://pan.quark.cn/s/b19ce9a7152e", "https://pan.quark.cn/s/b19ce9a7152e")</f>
        <v>https://pan.quark.cn/s/b19ce9a7152e</v>
      </c>
      <c r="C1008" t="inlineStr">
        <is>
          <t>29.3GB</t>
        </is>
      </c>
      <c r="D1008" t="inlineStr">
        <is>
          <t>/小学语文/作文方法/独创方法/K12/学龄儿童家长</t>
        </is>
      </c>
      <c r="E1008" t="inlineStr">
        <is>
          <t>https://dcn8qexvg13r.feishu.cn/share/base/query/shrcnMqxwwRkV3NUIUxPeab3sec</t>
        </is>
      </c>
      <c r="F1008" t="inlineStr">
        <is>
          <t>请添加微信：k846211</t>
        </is>
      </c>
      <c r="G1008" t="inlineStr">
        <is>
          <t>2025-12-20</t>
        </is>
      </c>
    </row>
    <row r="1009" ht="25.5" customHeight="1">
      <c r="A1009" t="inlineStr">
        <is>
          <t>2025秋最新教辅资料合集</t>
        </is>
      </c>
      <c r="B1009" s="2" t="str">
        <f>=HYPERLINK("https://pan.quark.cn/s/8a88669ad959", "https://pan.quark.cn/s/8a88669ad959")</f>
        <v>https://pan.quark.cn/s/8a88669ad959</v>
      </c>
      <c r="C1009" t="inlineStr">
        <is>
          <t>95.5GB</t>
        </is>
      </c>
      <c r="D1009" t="inlineStr">
        <is>
          <t>/2025秋/教辅/K12/学龄儿童家长</t>
        </is>
      </c>
      <c r="E1009" t="inlineStr">
        <is>
          <t>https://dcn8qexvg13r.feishu.cn/share/base/query/shrcnMqxwwRkV3NUIUxPeab3sec</t>
        </is>
      </c>
      <c r="F1009" t="inlineStr">
        <is>
          <t>请添加微信：k846211</t>
        </is>
      </c>
      <c r="G1009" t="inlineStr">
        <is>
          <t>2025-12-20</t>
        </is>
      </c>
    </row>
    <row r="1010" ht="25.5" customHeight="1">
      <c r="A1010" t="inlineStr">
        <is>
          <t>小学数学《15天期末考前冲刺卷》1-6上下册（北师大）</t>
        </is>
      </c>
      <c r="B1010" s="2" t="str">
        <f>=HYPERLINK("https://pan.quark.cn/s/3534a3748a48", "https://pan.quark.cn/s/3534a3748a48")</f>
        <v>https://pan.quark.cn/s/3534a3748a48</v>
      </c>
      <c r="C1010" t="inlineStr">
        <is>
          <t>3.9GB</t>
        </is>
      </c>
      <c r="D1010" t="inlineStr">
        <is>
          <t>/小学数学/期末冲刺/北师大版/考卷/学龄儿童家长/K12</t>
        </is>
      </c>
      <c r="E1010" t="inlineStr">
        <is>
          <t>https://dcn8qexvg13r.feishu.cn/share/base/query/shrcnMqxwwRkV3NUIUxPeab3sec</t>
        </is>
      </c>
      <c r="F1010" t="inlineStr">
        <is>
          <t>请添加微信：k846211</t>
        </is>
      </c>
      <c r="G1010" t="inlineStr">
        <is>
          <t>2025-12-20</t>
        </is>
      </c>
    </row>
    <row r="1011" ht="25.5" customHeight="1">
      <c r="A1011" t="inlineStr">
        <is>
          <t>2026春-新教材电子课本（持续免费更新中）</t>
        </is>
      </c>
      <c r="B1011" s="2" t="str">
        <f>=HYPERLINK("https://pan.quark.cn/s/dd96fe4864a4", "https://pan.quark.cn/s/dd96fe4864a4")</f>
        <v>https://pan.quark.cn/s/dd96fe4864a4</v>
      </c>
      <c r="C1011" t="inlineStr">
        <is>
          <t>4.1GB</t>
        </is>
      </c>
      <c r="D1011" t="inlineStr">
        <is>
          <t>/2026春/新教材/电子课本/免费更新/K12/学龄儿童家长</t>
        </is>
      </c>
      <c r="E1011" t="inlineStr">
        <is>
          <t>https://dcn8qexvg13r.feishu.cn/share/base/query/shrcnMqxwwRkV3NUIUxPeab3sec</t>
        </is>
      </c>
      <c r="F1011" t="inlineStr">
        <is>
          <t>请添加微信：k846211</t>
        </is>
      </c>
      <c r="G1011" t="inlineStr">
        <is>
          <t>2025-12-21</t>
        </is>
      </c>
    </row>
    <row r="1012" ht="25.5" customHeight="1">
      <c r="A1012" t="inlineStr">
        <is>
          <t>01 小学电子课本大全</t>
        </is>
      </c>
      <c r="B1012" s="2" t="str">
        <f>=HYPERLINK("https://pan.quark.cn/s/b4664f895c6f", "https://pan.quark.cn/s/b4664f895c6f")</f>
        <v>https://pan.quark.cn/s/b4664f895c6f</v>
      </c>
      <c r="C1012" t="inlineStr">
        <is>
          <t>40.4GB</t>
        </is>
      </c>
      <c r="D1012" t="inlineStr">
        <is>
          <t>/小学/电子课本/教学资源/学习材料/K12/学龄儿童家长</t>
        </is>
      </c>
      <c r="E1012" t="inlineStr">
        <is>
          <t>https://dcn8qexvg13r.feishu.cn/share/base/query/shrcnMqxwwRkV3NUIUxPeab3sec</t>
        </is>
      </c>
      <c r="F1012" t="inlineStr">
        <is>
          <t>请添加微信：k846211</t>
        </is>
      </c>
      <c r="G1012" t="inlineStr">
        <is>
          <t>2025-12-21</t>
        </is>
      </c>
    </row>
    <row r="1013" ht="25.5" customHeight="1">
      <c r="A1013" t="inlineStr">
        <is>
          <t>02 初中电子课本大全</t>
        </is>
      </c>
      <c r="B1013" s="2" t="str">
        <f>=HYPERLINK("https://pan.quark.cn/s/1031e82ceca9", "https://pan.quark.cn/s/1031e82ceca9")</f>
        <v>https://pan.quark.cn/s/1031e82ceca9</v>
      </c>
      <c r="C1013" t="inlineStr">
        <is>
          <t>37.9GB</t>
        </is>
      </c>
      <c r="D1013" t="inlineStr">
        <is>
          <t>/初中/电子课本/教材/K12/学龄儿童家长</t>
        </is>
      </c>
      <c r="E1013" t="inlineStr">
        <is>
          <t>https://dcn8qexvg13r.feishu.cn/share/base/query/shrcnMqxwwRkV3NUIUxPeab3sec</t>
        </is>
      </c>
      <c r="F1013" t="inlineStr">
        <is>
          <t>请添加微信：k846211</t>
        </is>
      </c>
      <c r="G1013" t="inlineStr">
        <is>
          <t>2025-12-21</t>
        </is>
      </c>
    </row>
    <row r="1014" ht="25.5" customHeight="1">
      <c r="A1014" t="inlineStr">
        <is>
          <t>03 高中电子课本大全</t>
        </is>
      </c>
      <c r="B1014" s="2" t="str">
        <f>=HYPERLINK("https://pan.quark.cn/s/010284bd2cf0", "https://pan.quark.cn/s/010284bd2cf0")</f>
        <v>https://pan.quark.cn/s/010284bd2cf0</v>
      </c>
      <c r="C1014" t="inlineStr">
        <is>
          <t>22.6GB</t>
        </is>
      </c>
      <c r="D1014" t="inlineStr">
        <is>
          <t>/高中/电子课本/学习资料/K12/学龄儿童家长</t>
        </is>
      </c>
      <c r="E1014" t="inlineStr">
        <is>
          <t>https://dcn8qexvg13r.feishu.cn/share/base/query/shrcnMqxwwRkV3NUIUxPeab3sec</t>
        </is>
      </c>
      <c r="F1014" t="inlineStr">
        <is>
          <t>请添加微信：k846211</t>
        </is>
      </c>
      <c r="G1014" t="inlineStr">
        <is>
          <t>2025-12-21</t>
        </is>
      </c>
    </row>
    <row r="1015" ht="25.5" customHeight="1">
      <c r="A1015" t="inlineStr">
        <is>
          <t>2026春-新教材电子课本（持续免费更新中）(1)</t>
        </is>
      </c>
      <c r="B1015" s="2" t="str">
        <f>=HYPERLINK("https://pan.quark.cn/s/39b6f5274791", "https://pan.quark.cn/s/39b6f5274791")</f>
        <v>https://pan.quark.cn/s/39b6f5274791</v>
      </c>
      <c r="C1015" t="inlineStr">
        <is>
          <t>4.1GB</t>
        </is>
      </c>
      <c r="D1015" t="inlineStr">
        <is>
          <t>/2026春/新教材/电子课本/持续更新/K12/学龄儿童家长</t>
        </is>
      </c>
      <c r="E1015" t="inlineStr">
        <is>
          <t>https://dcn8qexvg13r.feishu.cn/share/base/query/shrcnMqxwwRkV3NUIUxPeab3sec</t>
        </is>
      </c>
      <c r="F1015" t="inlineStr">
        <is>
          <t>请添加微信：k846211</t>
        </is>
      </c>
      <c r="G1015" t="inlineStr">
        <is>
          <t>2025-12-21</t>
        </is>
      </c>
    </row>
    <row r="1016" ht="25.5" customHeight="1">
      <c r="A1016" t="inlineStr">
        <is>
          <t>儿童绘本故事《屁屁侦探》全7册</t>
        </is>
      </c>
      <c r="B1016" s="2" t="str">
        <f>=HYPERLINK("https://pan.quark.cn/s/2051f1886216", "https://pan.quark.cn/s/2051f1886216")</f>
        <v>https://pan.quark.cn/s/2051f1886216</v>
      </c>
      <c r="C1016" t="inlineStr">
        <is>
          <t>11.9GB</t>
        </is>
      </c>
      <c r="D1016" t="inlineStr">
        <is>
          <t>/儿童绘本/屁屁侦探/故事/育儿/宝妈/家长群体/学龄儿童家长</t>
        </is>
      </c>
      <c r="E1016" t="inlineStr">
        <is>
          <t>https://dcn8qexvg13r.feishu.cn/share/base/query/shrcnMqxwwRkV3NUIUxPeab3sec</t>
        </is>
      </c>
      <c r="F1016" t="inlineStr">
        <is>
          <t>请添加微信：k846211</t>
        </is>
      </c>
      <c r="G1016" t="inlineStr">
        <is>
          <t>2025-12-21</t>
        </is>
      </c>
    </row>
    <row r="1017" ht="25.5" customHeight="1">
      <c r="A1017" t="inlineStr">
        <is>
          <t>《凯叔讲故事8100集》有声类故事 价值几千 大合集[mp3]</t>
        </is>
      </c>
      <c r="B1017" s="2" t="str">
        <f>=HYPERLINK("https://pan.quark.cn/s/1b212da1b8e1", "https://pan.quark.cn/s/1b212da1b8e1")</f>
        <v>https://pan.quark.cn/s/1b212da1b8e1</v>
      </c>
      <c r="C1017" t="inlineStr">
        <is>
          <t>74.2GB</t>
        </is>
      </c>
      <c r="D1017" t="inlineStr">
        <is>
          <t>/凯叔讲故事/有声故事/mp3/宝妈/家长群体/学龄儿童家长</t>
        </is>
      </c>
      <c r="E1017" t="inlineStr">
        <is>
          <t>https://dcn8qexvg13r.feishu.cn/share/base/query/shrcnMqxwwRkV3NUIUxPeab3sec</t>
        </is>
      </c>
      <c r="F1017" t="inlineStr">
        <is>
          <t>请添加微信：k846211</t>
        </is>
      </c>
      <c r="G1017" t="inlineStr">
        <is>
          <t>2025-12-21</t>
        </is>
      </c>
    </row>
    <row r="1018" ht="25.5" customHeight="1">
      <c r="A1018" t="inlineStr">
        <is>
          <t>《喜玛拉雅精读全球好书 300本 三季全》有声读物 好书不用看 听就可以了[mp3]</t>
        </is>
      </c>
      <c r="B1018" s="2" t="str">
        <f>=HYPERLINK("https://pan.quark.cn/s/4790df081f58", "https://pan.quark.cn/s/4790df081f58")</f>
        <v>https://pan.quark.cn/s/4790df081f58</v>
      </c>
      <c r="C1018" t="inlineStr">
        <is>
          <t>11.9GB</t>
        </is>
      </c>
      <c r="D1018" t="inlineStr">
        <is>
          <t>/全球好书/有声读物/mp3/精读/白领/管理者</t>
        </is>
      </c>
      <c r="E1018" t="inlineStr">
        <is>
          <t>https://dcn8qexvg13r.feishu.cn/share/base/query/shrcnMqxwwRkV3NUIUxPeab3sec</t>
        </is>
      </c>
      <c r="F1018" t="inlineStr">
        <is>
          <t>请添加微信：k846211</t>
        </is>
      </c>
      <c r="G1018" t="inlineStr">
        <is>
          <t>2025-12-21</t>
        </is>
      </c>
    </row>
    <row r="1019" ht="25.5" customHeight="1">
      <c r="A1019" t="inlineStr">
        <is>
          <t>大明王朝的七张面孔 - 作者张宏杰 - 演播王更新 - 完结</t>
        </is>
      </c>
      <c r="B1019" s="2" t="str">
        <f>=HYPERLINK("https://pan.quark.cn/s/ce171276fc42", "https://pan.quark.cn/s/ce171276fc42")</f>
        <v>https://pan.quark.cn/s/ce171276fc42</v>
      </c>
      <c r="C1019" t="inlineStr">
        <is>
          <t>511.0MB</t>
        </is>
      </c>
      <c r="D1019" t="inlineStr">
        <is>
          <t>/明朝历史/人物传记/有声书/历史文化/大学生/白领</t>
        </is>
      </c>
      <c r="E1019" t="inlineStr">
        <is>
          <t>https://dcn8qexvg13r.feishu.cn/share/base/query/shrcnMqxwwRkV3NUIUxPeab3sec</t>
        </is>
      </c>
      <c r="F1019" t="inlineStr">
        <is>
          <t>请添加微信：k846211</t>
        </is>
      </c>
      <c r="G1019" t="inlineStr">
        <is>
          <t>2025-12-21</t>
        </is>
      </c>
    </row>
    <row r="1020" ht="25.5" customHeight="1">
      <c r="A1020" t="inlineStr">
        <is>
          <t>易经情商课：收获最宝贵的人生经验</t>
        </is>
      </c>
      <c r="B1020" s="2" t="str">
        <f>=HYPERLINK("https://pan.quark.cn/s/bd4569345150", "https://pan.quark.cn/s/bd4569345150")</f>
        <v>https://pan.quark.cn/s/bd4569345150</v>
      </c>
      <c r="C1020" t="inlineStr">
        <is>
          <t>4.4GB</t>
        </is>
      </c>
      <c r="D1020" t="inlineStr">
        <is>
          <t>/易经/情商/人生经验/课程/白领/管理者</t>
        </is>
      </c>
      <c r="E1020" t="inlineStr">
        <is>
          <t>https://dcn8qexvg13r.feishu.cn/share/base/query/shrcnMqxwwRkV3NUIUxPeab3sec</t>
        </is>
      </c>
      <c r="F1020" t="inlineStr">
        <is>
          <t>请添加微信：k846211</t>
        </is>
      </c>
      <c r="G1020" t="inlineStr">
        <is>
          <t>2025-12-21</t>
        </is>
      </c>
    </row>
    <row r="1021" ht="25.5" customHeight="1">
      <c r="A1021" t="inlineStr">
        <is>
          <t xml:space="preserve">易经入门 </t>
        </is>
      </c>
      <c r="B1021" s="2" t="str">
        <f>=HYPERLINK("https://pan.quark.cn/s/9c67c1b7ae84", "https://pan.quark.cn/s/9c67c1b7ae84")</f>
        <v>https://pan.quark.cn/s/9c67c1b7ae84</v>
      </c>
      <c r="C1021" t="inlineStr">
        <is>
          <t>33.1MB</t>
        </is>
      </c>
      <c r="D1021" t="inlineStr">
        <is>
          <t>/易经/传统文化/入门学习/技能入门/其他</t>
        </is>
      </c>
      <c r="E1021" t="inlineStr">
        <is>
          <t>https://dcn8qexvg13r.feishu.cn/share/base/query/shrcnMqxwwRkV3NUIUxPeab3sec</t>
        </is>
      </c>
      <c r="F1021" t="inlineStr">
        <is>
          <t>请添加微信：k846211</t>
        </is>
      </c>
      <c r="G1021" t="inlineStr">
        <is>
          <t>2025-12-21</t>
        </is>
      </c>
    </row>
    <row r="1022" ht="25.5" customHeight="1">
      <c r="A1022" t="inlineStr">
        <is>
          <t>【曾仕强】--易经论三国87集</t>
        </is>
      </c>
      <c r="B1022" s="2" t="str">
        <f>=HYPERLINK("https://pan.quark.cn/s/704ead0b61cf", "https://pan.quark.cn/s/704ead0b61cf")</f>
        <v>https://pan.quark.cn/s/704ead0b61cf</v>
      </c>
      <c r="C1022" t="inlineStr">
        <is>
          <t>9.6GB</t>
        </is>
      </c>
      <c r="D1022" t="inlineStr">
        <is>
          <t>/易经/三国/曾仕强/历史解读/管理者/白领</t>
        </is>
      </c>
      <c r="E1022" t="inlineStr">
        <is>
          <t>https://dcn8qexvg13r.feishu.cn/share/base/query/shrcnMqxwwRkV3NUIUxPeab3sec</t>
        </is>
      </c>
      <c r="F1022" t="inlineStr">
        <is>
          <t>请添加微信：k846211</t>
        </is>
      </c>
      <c r="G1022" t="inlineStr">
        <is>
          <t>2025-12-21</t>
        </is>
      </c>
    </row>
    <row r="1023" ht="25.5" customHeight="1">
      <c r="A1023" t="inlineStr">
        <is>
          <t>易经杂说</t>
        </is>
      </c>
      <c r="B1023" s="2" t="str">
        <f>=HYPERLINK("https://pan.quark.cn/s/858e800b564a", "https://pan.quark.cn/s/858e800b564a")</f>
        <v>https://pan.quark.cn/s/858e800b564a</v>
      </c>
      <c r="C1023" t="inlineStr">
        <is>
          <t>8.6MB</t>
        </is>
      </c>
      <c r="D1023" t="inlineStr">
        <is>
          <t>/易经/哲学/传统文化/杂说/其他</t>
        </is>
      </c>
      <c r="E1023" t="inlineStr">
        <is>
          <t>https://dcn8qexvg13r.feishu.cn/share/base/query/shrcnMqxwwRkV3NUIUxPeab3sec</t>
        </is>
      </c>
      <c r="F1023" t="inlineStr">
        <is>
          <t>请添加微信：k846211</t>
        </is>
      </c>
      <c r="G1023" t="inlineStr">
        <is>
          <t>2025-12-21</t>
        </is>
      </c>
    </row>
    <row r="1024" ht="25.5" customHeight="1">
      <c r="A1024" t="inlineStr">
        <is>
          <t>玄学入门26本书｜易经+风水+命理（古籍+现代解读+实操案例）</t>
        </is>
      </c>
      <c r="B1024" s="2" t="str">
        <f>=HYPERLINK("https://pan.quark.cn/s/1c58398fcb7f", "https://pan.quark.cn/s/1c58398fcb7f")</f>
        <v>https://pan.quark.cn/s/1c58398fcb7f</v>
      </c>
      <c r="C1024" t="inlineStr">
        <is>
          <t>486.1MB</t>
        </is>
      </c>
      <c r="D1024" t="inlineStr">
        <is>
          <t>/玄学/易经/风水/命理/技能入门/其他</t>
        </is>
      </c>
      <c r="E1024" t="inlineStr">
        <is>
          <t>https://dcn8qexvg13r.feishu.cn/share/base/query/shrcnMqxwwRkV3NUIUxPeab3sec</t>
        </is>
      </c>
      <c r="F1024" t="inlineStr">
        <is>
          <t>请添加微信：k846211</t>
        </is>
      </c>
      <c r="G1024" t="inlineStr">
        <is>
          <t>2025-12-21</t>
        </is>
      </c>
    </row>
    <row r="1025" ht="25.5" customHeight="1">
      <c r="A1025" t="inlineStr">
        <is>
          <t>1-6年级上数学 王朝霞期末摸底诊断卷（人教、北师、苏教、冀教）25秋</t>
        </is>
      </c>
      <c r="B1025" s="2" t="str">
        <f>=HYPERLINK("https://pan.quark.cn/s/e92578c113cd", "https://pan.quark.cn/s/e92578c113cd")</f>
        <v>https://pan.quark.cn/s/e92578c113cd</v>
      </c>
      <c r="C1025" t="inlineStr">
        <is>
          <t>171.7MB</t>
        </is>
      </c>
      <c r="D1025" t="inlineStr">
        <is>
          <t>/数学/期末摸底/诊断卷/王朝霞/小学/K12/学龄儿童家长</t>
        </is>
      </c>
      <c r="E1025" t="inlineStr">
        <is>
          <t>https://dcn8qexvg13r.feishu.cn/share/base/query/shrcnMqxwwRkV3NUIUxPeab3sec</t>
        </is>
      </c>
      <c r="F1025" t="inlineStr">
        <is>
          <t>请添加微信：k846211</t>
        </is>
      </c>
      <c r="G1025" t="inlineStr">
        <is>
          <t>2025-12-21</t>
        </is>
      </c>
    </row>
    <row r="1026" ht="25.5" customHeight="1">
      <c r="A1026" t="inlineStr">
        <is>
          <t>旁门左道PPT模板500套</t>
        </is>
      </c>
      <c r="B1026" s="2" t="str">
        <f>=HYPERLINK("https://pan.quark.cn/s/334213ea59af", "https://pan.quark.cn/s/334213ea59af")</f>
        <v>https://pan.quark.cn/s/334213ea59af</v>
      </c>
      <c r="C1026" t="inlineStr">
        <is>
          <t>4.9GB</t>
        </is>
      </c>
      <c r="D1026" t="inlineStr">
        <is>
          <t>/PPT/模板/设计素材/白领/特定行业从业者</t>
        </is>
      </c>
      <c r="E1026" t="inlineStr">
        <is>
          <t>https://dcn8qexvg13r.feishu.cn/share/base/query/shrcnMqxwwRkV3NUIUxPeab3sec</t>
        </is>
      </c>
      <c r="F1026" t="inlineStr">
        <is>
          <t>请添加微信：k846211</t>
        </is>
      </c>
      <c r="G1026" t="inlineStr">
        <is>
          <t>2025-12-21</t>
        </is>
      </c>
    </row>
    <row r="1027" ht="25.5" customHeight="1">
      <c r="A1027" t="inlineStr">
        <is>
          <t>1500套·教育教学·教师PPT·模板合集</t>
        </is>
      </c>
      <c r="B1027" s="2" t="str">
        <f>=HYPERLINK("https://pan.quark.cn/s/5f7aac10959d", "https://pan.quark.cn/s/5f7aac10959d")</f>
        <v>https://pan.quark.cn/s/5f7aac10959d</v>
      </c>
      <c r="C1027" t="inlineStr">
        <is>
          <t>9.5GB</t>
        </is>
      </c>
      <c r="D1027" t="inlineStr">
        <is>
          <t>/教育教学/教师PPT/模板/K12/特定行业从业者</t>
        </is>
      </c>
      <c r="E1027" t="inlineStr">
        <is>
          <t>https://dcn8qexvg13r.feishu.cn/share/base/query/shrcnMqxwwRkV3NUIUxPeab3sec</t>
        </is>
      </c>
      <c r="F1027" t="inlineStr">
        <is>
          <t>请添加微信：k846211</t>
        </is>
      </c>
      <c r="G1027" t="inlineStr">
        <is>
          <t>2025-12-21</t>
        </is>
      </c>
    </row>
    <row r="1028" ht="25.5" customHeight="1">
      <c r="A1028" t="inlineStr">
        <is>
          <t>【10(1).16】👍陈心老师的《阅读理解36计》简直是语文提分宝藏！(2)</t>
        </is>
      </c>
      <c r="B1028" s="2" t="str">
        <f>=HYPERLINK("https://pan.quark.cn/s/b57208054295", "https://pan.quark.cn/s/b57208054295")</f>
        <v>https://pan.quark.cn/s/b57208054295</v>
      </c>
      <c r="C1028" t="inlineStr">
        <is>
          <t>15.7GB</t>
        </is>
      </c>
      <c r="D1028" t="inlineStr">
        <is>
          <t>/阅读理解/陈心老师/提分/语文/K12/学龄儿童家长</t>
        </is>
      </c>
      <c r="E1028" t="inlineStr">
        <is>
          <t>https://dcn8qexvg13r.feishu.cn/share/base/query/shrcnMqxwwRkV3NUIUxPeab3sec</t>
        </is>
      </c>
      <c r="F1028" t="inlineStr">
        <is>
          <t>请添加微信：k846211</t>
        </is>
      </c>
      <c r="G1028" t="inlineStr">
        <is>
          <t>2025-12-21</t>
        </is>
      </c>
    </row>
    <row r="1029" ht="25.5" customHeight="1">
      <c r="A1029" t="inlineStr">
        <is>
          <t>派派老师牛娃攻略（语文）</t>
        </is>
      </c>
      <c r="B1029" s="2" t="str">
        <f>=HYPERLINK("https://pan.quark.cn/s/fd9fa1702d39", "https://pan.quark.cn/s/fd9fa1702d39")</f>
        <v>https://pan.quark.cn/s/fd9fa1702d39</v>
      </c>
      <c r="C1029" t="inlineStr">
        <is>
          <t>6.7GB</t>
        </is>
      </c>
      <c r="D1029" t="inlineStr">
        <is>
          <t>语文/牛娃培养/学习攻略/学龄儿童家长/宝妈/家长群体</t>
        </is>
      </c>
      <c r="E1029" t="inlineStr">
        <is>
          <t>https://dcn8qexvg13r.feishu.cn/share/base/query/shrcnMqxwwRkV3NUIUxPeab3sec</t>
        </is>
      </c>
      <c r="F1029" t="inlineStr">
        <is>
          <t>请添加微信：k846211</t>
        </is>
      </c>
      <c r="G1029" t="inlineStr">
        <is>
          <t>2025-12-21</t>
        </is>
      </c>
    </row>
    <row r="1030" ht="25.5" customHeight="1">
      <c r="A1030" t="inlineStr">
        <is>
          <t>新二上语文1-8单元高频考点总结单（十二个考点归纳）29页(7).pdf</t>
        </is>
      </c>
      <c r="B1030" s="2" t="str">
        <f>=HYPERLINK("https://pan.quark.cn/s/26b290e3cabb", "https://pan.quark.cn/s/26b290e3cabb")</f>
        <v>https://pan.quark.cn/s/26b290e3cabb</v>
      </c>
      <c r="C1030" t="inlineStr">
        <is>
          <t>137.0MB</t>
        </is>
      </c>
      <c r="D1030" t="inlineStr">
        <is>
          <t>/新二上语文/高频考点/考点归纳/K12/学龄儿童家长</t>
        </is>
      </c>
      <c r="E1030" t="inlineStr">
        <is>
          <t>https://dcn8qexvg13r.feishu.cn/share/base/query/shrcnMqxwwRkV3NUIUxPeab3sec</t>
        </is>
      </c>
      <c r="F1030" t="inlineStr">
        <is>
          <t>请添加微信：k846211</t>
        </is>
      </c>
      <c r="G1030" t="inlineStr">
        <is>
          <t>2025-12-23</t>
        </is>
      </c>
    </row>
    <row r="1031" ht="25.5" customHeight="1">
      <c r="A1031" t="inlineStr">
        <is>
          <t>25秋一年级上册期末复习专项合集</t>
        </is>
      </c>
      <c r="B1031" s="2" t="str">
        <f>=HYPERLINK("https://pan.quark.cn/s/549a2a6d1268", "https://pan.quark.cn/s/549a2a6d1268")</f>
        <v>https://pan.quark.cn/s/549a2a6d1268</v>
      </c>
      <c r="C1031" t="inlineStr">
        <is>
          <t>2.0GB</t>
        </is>
      </c>
      <c r="D1031" t="inlineStr">
        <is>
          <t>/一年级上册/期末复习/专项练习/K12/学龄儿童家长</t>
        </is>
      </c>
      <c r="E1031" t="inlineStr">
        <is>
          <t>https://dcn8qexvg13r.feishu.cn/share/base/query/shrcnMqxwwRkV3NUIUxPeab3sec</t>
        </is>
      </c>
      <c r="F1031" t="inlineStr">
        <is>
          <t>请添加微信：k846211</t>
        </is>
      </c>
      <c r="G1031" t="inlineStr">
        <is>
          <t>2025-12-23</t>
        </is>
      </c>
    </row>
    <row r="1032" ht="25.5" customHeight="1">
      <c r="A1032" t="inlineStr">
        <is>
          <t>26版木头马88篇高效训练-2年级</t>
        </is>
      </c>
      <c r="B1032" s="2" t="str">
        <f>=HYPERLINK("https://pan.quark.cn/s/76ef4b424fac", "https://pan.quark.cn/s/76ef4b424fac")</f>
        <v>https://pan.quark.cn/s/76ef4b424fac</v>
      </c>
      <c r="C1032" t="inlineStr">
        <is>
          <t>1.5GB</t>
        </is>
      </c>
      <c r="D1032" t="inlineStr">
        <is>
          <t>/木头马/高效训练/2年级/语文/K12/学龄儿童家长</t>
        </is>
      </c>
      <c r="E1032" t="inlineStr">
        <is>
          <t>https://dcn8qexvg13r.feishu.cn/share/base/query/shrcnMqxwwRkV3NUIUxPeab3sec</t>
        </is>
      </c>
      <c r="F1032" t="inlineStr">
        <is>
          <t>请添加微信：k846211</t>
        </is>
      </c>
      <c r="G1032" t="inlineStr">
        <is>
          <t>2025-12-23</t>
        </is>
      </c>
    </row>
    <row r="1033" ht="25.5" customHeight="1">
      <c r="A1033" t="inlineStr">
        <is>
          <t>2025-2026学年英语三年级上学期期末测试卷（外研版）含答案</t>
        </is>
      </c>
      <c r="B1033" s="2" t="str">
        <f>=HYPERLINK("https://pan.quark.cn/s/6183beb3773b", "https://pan.quark.cn/s/6183beb3773b")</f>
        <v>https://pan.quark.cn/s/6183beb3773b</v>
      </c>
      <c r="C1033" t="inlineStr">
        <is>
          <t>4.4MB</t>
        </is>
      </c>
      <c r="D1033" t="inlineStr">
        <is>
          <t>/英语三年级/期末测试卷/外研版/含答案/K12/学龄儿童家长</t>
        </is>
      </c>
      <c r="E1033" t="inlineStr">
        <is>
          <t>https://dcn8qexvg13r.feishu.cn/share/base/query/shrcnMqxwwRkV3NUIUxPeab3sec</t>
        </is>
      </c>
      <c r="F1033" t="inlineStr">
        <is>
          <t>请添加微信：k846211</t>
        </is>
      </c>
      <c r="G1033" t="inlineStr">
        <is>
          <t>2025-12-23</t>
        </is>
      </c>
    </row>
    <row r="1034" ht="25.5" customHeight="1">
      <c r="A1034" t="inlineStr">
        <is>
          <t>2025-2026学年英语四年级上学期期末测试卷（外研版）含答案</t>
        </is>
      </c>
      <c r="B1034" s="2" t="str">
        <f>=HYPERLINK("https://pan.quark.cn/s/866c23260d4b", "https://pan.quark.cn/s/866c23260d4b")</f>
        <v>https://pan.quark.cn/s/866c23260d4b</v>
      </c>
      <c r="C1034" t="inlineStr">
        <is>
          <t>3.6MB</t>
        </is>
      </c>
      <c r="D1034" t="inlineStr">
        <is>
          <t>/英语/四年级/上学期/期末测试卷/K12/学龄儿童家长</t>
        </is>
      </c>
      <c r="E1034" t="inlineStr">
        <is>
          <t>https://dcn8qexvg13r.feishu.cn/share/base/query/shrcnMqxwwRkV3NUIUxPeab3sec</t>
        </is>
      </c>
      <c r="F1034" t="inlineStr">
        <is>
          <t>请添加微信：k846211</t>
        </is>
      </c>
      <c r="G1034" t="inlineStr">
        <is>
          <t>2025-12-23</t>
        </is>
      </c>
    </row>
    <row r="1035" ht="25.5" customHeight="1">
      <c r="A1035" t="inlineStr">
        <is>
          <t>2025-2026学年英语五年级上学期期末测试卷（外研版）含答案</t>
        </is>
      </c>
      <c r="B1035" s="2" t="str">
        <f>=HYPERLINK("https://pan.quark.cn/s/f49abb28b0cf", "https://pan.quark.cn/s/f49abb28b0cf")</f>
        <v>https://pan.quark.cn/s/f49abb28b0cf</v>
      </c>
      <c r="C1035" t="inlineStr">
        <is>
          <t>3.7MB</t>
        </is>
      </c>
      <c r="D1035" t="inlineStr">
        <is>
          <t>/英语五年级/期末测试卷/外研版/K12/学龄儿童家长</t>
        </is>
      </c>
      <c r="E1035" t="inlineStr">
        <is>
          <t>https://dcn8qexvg13r.feishu.cn/share/base/query/shrcnMqxwwRkV3NUIUxPeab3sec</t>
        </is>
      </c>
      <c r="F1035" t="inlineStr">
        <is>
          <t>请添加微信：k846211</t>
        </is>
      </c>
      <c r="G1035" t="inlineStr">
        <is>
          <t>2025-12-23</t>
        </is>
      </c>
    </row>
    <row r="1036" ht="25.5" customHeight="1">
      <c r="A1036" t="inlineStr">
        <is>
          <t>2025-2026学年英语六年级上学期期末测试卷（外研版）含答案</t>
        </is>
      </c>
      <c r="B1036" s="2" t="str">
        <f>=HYPERLINK("https://pan.quark.cn/s/30c285298a5b", "https://pan.quark.cn/s/30c285298a5b")</f>
        <v>https://pan.quark.cn/s/30c285298a5b</v>
      </c>
      <c r="C1036" t="inlineStr">
        <is>
          <t>3.7MB</t>
        </is>
      </c>
      <c r="D1036" t="inlineStr">
        <is>
          <t>/英语/六年级上学期/期末测试卷/外研版/K12/学龄儿童家长</t>
        </is>
      </c>
      <c r="E1036" t="inlineStr">
        <is>
          <t>https://dcn8qexvg13r.feishu.cn/share/base/query/shrcnMqxwwRkV3NUIUxPeab3sec</t>
        </is>
      </c>
      <c r="F1036" t="inlineStr">
        <is>
          <t>请添加微信：k846211</t>
        </is>
      </c>
      <c r="G1036" t="inlineStr">
        <is>
          <t>2025-12-23</t>
        </is>
      </c>
    </row>
    <row r="1037" ht="25.5" customHeight="1">
      <c r="A1037" t="inlineStr">
        <is>
          <t>小学全年级</t>
        </is>
      </c>
      <c r="B1037" s="2" t="str">
        <f>=HYPERLINK("https://pan.quark.cn/s/be37dee1f0a9", "https://pan.quark.cn/s/be37dee1f0a9")</f>
        <v>https://pan.quark.cn/s/be37dee1f0a9</v>
      </c>
      <c r="C1037" t="inlineStr">
        <is>
          <t>0B</t>
        </is>
      </c>
      <c r="D1037" t="inlineStr">
        <is>
          <t>/小学/全年级/教学资源/学习资料/K12/学龄儿童家长</t>
        </is>
      </c>
      <c r="E1037" t="inlineStr">
        <is>
          <t>https://dcn8qexvg13r.feishu.cn/share/base/query/shrcnMqxwwRkV3NUIUxPeab3sec</t>
        </is>
      </c>
      <c r="F1037" t="inlineStr">
        <is>
          <t>请添加微信：k846211</t>
        </is>
      </c>
      <c r="G1037" t="inlineStr">
        <is>
          <t>2025-12-24</t>
        </is>
      </c>
    </row>
    <row r="1038" ht="25.5" customHeight="1">
      <c r="A1038" t="inlineStr">
        <is>
          <t>钱儿爸希利尔讲世界地理</t>
        </is>
      </c>
      <c r="B1038" s="2" t="str">
        <f>=HYPERLINK("https://pan.quark.cn/s/eb317f533c4c", "https://pan.quark.cn/s/eb317f533c4c")</f>
        <v>https://pan.quark.cn/s/eb317f533c4c</v>
      </c>
      <c r="C1038" t="inlineStr">
        <is>
          <t>3.1GB</t>
        </is>
      </c>
      <c r="D1038" t="inlineStr">
        <is>
          <t>/世界地理/儿童科普/希利尔系列/地理启蒙/K12/学龄儿童家长</t>
        </is>
      </c>
      <c r="E1038" t="inlineStr">
        <is>
          <t>https://dcn8qexvg13r.feishu.cn/share/base/query/shrcnMqxwwRkV3NUIUxPeab3sec</t>
        </is>
      </c>
      <c r="F1038" t="inlineStr">
        <is>
          <t>请添加微信：k846211</t>
        </is>
      </c>
      <c r="G1038" t="inlineStr">
        <is>
          <t>2025-12-24</t>
        </is>
      </c>
    </row>
    <row r="1039" ht="25.5" customHeight="1">
      <c r="A1039" t="inlineStr">
        <is>
          <t>🍎⭐️25秋1年上15天满分备考语文.pdf</t>
        </is>
      </c>
      <c r="B1039" s="2" t="str">
        <f>=HYPERLINK("https://pan.quark.cn/s/3ebd767f9551", "https://pan.quark.cn/s/3ebd767f9551")</f>
        <v>https://pan.quark.cn/s/3ebd767f9551</v>
      </c>
      <c r="C1039" t="inlineStr">
        <is>
          <t>106.2MB</t>
        </is>
      </c>
      <c r="D1039" t="inlineStr">
        <is>
          <t>/25秋1年上/语文/满分备考/15天备考/K12/学龄儿童家长</t>
        </is>
      </c>
      <c r="E1039" t="inlineStr">
        <is>
          <t>https://dcn8qexvg13r.feishu.cn/share/base/query/shrcnMqxwwRkV3NUIUxPeab3sec</t>
        </is>
      </c>
      <c r="F1039" t="inlineStr">
        <is>
          <t>请添加微信：k846211</t>
        </is>
      </c>
      <c r="G1039" t="inlineStr">
        <is>
          <t>2025-12-24</t>
        </is>
      </c>
    </row>
    <row r="1040" ht="25.5" customHeight="1">
      <c r="A1040" t="inlineStr">
        <is>
          <t>🍎⭐️25秋2年上15天满分备考语文.pdf</t>
        </is>
      </c>
      <c r="B1040" s="2" t="str">
        <f>=HYPERLINK("https://pan.quark.cn/s/0c278805c8d2", "https://pan.quark.cn/s/0c278805c8d2")</f>
        <v>https://pan.quark.cn/s/0c278805c8d2</v>
      </c>
      <c r="C1040" t="inlineStr">
        <is>
          <t>53.9MB</t>
        </is>
      </c>
      <c r="D1040" t="inlineStr">
        <is>
          <t>/25秋2年上/语文/15天备考/满分备考/K12/学龄儿童家长</t>
        </is>
      </c>
      <c r="E1040" t="inlineStr">
        <is>
          <t>https://dcn8qexvg13r.feishu.cn/share/base/query/shrcnMqxwwRkV3NUIUxPeab3sec</t>
        </is>
      </c>
      <c r="F1040" t="inlineStr">
        <is>
          <t>请添加微信：k846211</t>
        </is>
      </c>
      <c r="G1040" t="inlineStr">
        <is>
          <t>2025-12-24</t>
        </is>
      </c>
    </row>
    <row r="1041" ht="25.5" customHeight="1">
      <c r="A1041" t="inlineStr">
        <is>
          <t>🍎⭐️25秋3年上15天满分备考语文.pdf</t>
        </is>
      </c>
      <c r="B1041" s="2" t="str">
        <f>=HYPERLINK("https://pan.quark.cn/s/06e8618676d0", "https://pan.quark.cn/s/06e8618676d0")</f>
        <v>https://pan.quark.cn/s/06e8618676d0</v>
      </c>
      <c r="C1041" t="inlineStr">
        <is>
          <t>58.4MB</t>
        </is>
      </c>
      <c r="D1041" t="inlineStr">
        <is>
          <t>/25秋3年上/语文/备考/满分/K12/学龄儿童家长</t>
        </is>
      </c>
      <c r="E1041" t="inlineStr">
        <is>
          <t>https://dcn8qexvg13r.feishu.cn/share/base/query/shrcnMqxwwRkV3NUIUxPeab3sec</t>
        </is>
      </c>
      <c r="F1041" t="inlineStr">
        <is>
          <t>请添加微信：k846211</t>
        </is>
      </c>
      <c r="G1041" t="inlineStr">
        <is>
          <t>2025-12-24</t>
        </is>
      </c>
    </row>
    <row r="1042" ht="25.5" customHeight="1">
      <c r="A1042" t="inlineStr">
        <is>
          <t>🍎⭐️25秋4年上15天满分备考语文.pdf</t>
        </is>
      </c>
      <c r="B1042" s="2" t="str">
        <f>=HYPERLINK("https://pan.quark.cn/s/1d904e4ffc1e", "https://pan.quark.cn/s/1d904e4ffc1e")</f>
        <v>https://pan.quark.cn/s/1d904e4ffc1e</v>
      </c>
      <c r="C1042" t="inlineStr">
        <is>
          <t>62.3MB</t>
        </is>
      </c>
      <c r="D1042" t="inlineStr">
        <is>
          <t>/25秋/4年上/语文/满分备考/学龄儿童家长/K12</t>
        </is>
      </c>
      <c r="E1042" t="inlineStr">
        <is>
          <t>https://dcn8qexvg13r.feishu.cn/share/base/query/shrcnMqxwwRkV3NUIUxPeab3sec</t>
        </is>
      </c>
      <c r="F1042" t="inlineStr">
        <is>
          <t>请添加微信：k846211</t>
        </is>
      </c>
      <c r="G1042" t="inlineStr">
        <is>
          <t>2025-12-24</t>
        </is>
      </c>
    </row>
    <row r="1043" ht="25.5" customHeight="1">
      <c r="A1043" t="inlineStr">
        <is>
          <t>🍎⭐️25秋5年上15天满分备考语文.pdf</t>
        </is>
      </c>
      <c r="B1043" s="2" t="str">
        <f>=HYPERLINK("https://pan.quark.cn/s/2e53be167b4a", "https://pan.quark.cn/s/2e53be167b4a")</f>
        <v>https://pan.quark.cn/s/2e53be167b4a</v>
      </c>
      <c r="C1043" t="inlineStr">
        <is>
          <t>65.8MB</t>
        </is>
      </c>
      <c r="D1043" t="inlineStr">
        <is>
          <t>/25秋/5年上/语文/15天满分备考/K12/学龄儿童家长</t>
        </is>
      </c>
      <c r="E1043" t="inlineStr">
        <is>
          <t>https://dcn8qexvg13r.feishu.cn/share/base/query/shrcnMqxwwRkV3NUIUxPeab3sec</t>
        </is>
      </c>
      <c r="F1043" t="inlineStr">
        <is>
          <t>请添加微信：k846211</t>
        </is>
      </c>
      <c r="G1043" t="inlineStr">
        <is>
          <t>2025-12-24</t>
        </is>
      </c>
    </row>
    <row r="1044" ht="25.5" customHeight="1">
      <c r="A1044" t="inlineStr">
        <is>
          <t>🍎⭐️25秋6年上15天满分备考语文.pdf</t>
        </is>
      </c>
      <c r="B1044" s="2" t="str">
        <f>=HYPERLINK("https://pan.quark.cn/s/303f1ed26af0", "https://pan.quark.cn/s/303f1ed26af0")</f>
        <v>https://pan.quark.cn/s/303f1ed26af0</v>
      </c>
      <c r="C1044" t="inlineStr">
        <is>
          <t>63.4MB</t>
        </is>
      </c>
      <c r="D1044" t="inlineStr">
        <is>
          <t>/25秋/6年上/语文/15天满分备考/K12/学龄儿童家长</t>
        </is>
      </c>
      <c r="E1044" t="inlineStr">
        <is>
          <t>https://dcn8qexvg13r.feishu.cn/share/base/query/shrcnMqxwwRkV3NUIUxPeab3sec</t>
        </is>
      </c>
      <c r="F1044" t="inlineStr">
        <is>
          <t>请添加微信：k846211</t>
        </is>
      </c>
      <c r="G1044" t="inlineStr">
        <is>
          <t>2025-12-24</t>
        </is>
      </c>
    </row>
    <row r="1045" ht="25.5" customHeight="1">
      <c r="A1045" t="inlineStr">
        <is>
          <t>🍎⭐️25秋《15天满分备考》冀教版英语3上.pdf</t>
        </is>
      </c>
      <c r="B1045" s="2" t="str">
        <f>=HYPERLINK("https://pan.quark.cn/s/5142b7f52cc2", "https://pan.quark.cn/s/5142b7f52cc2")</f>
        <v>https://pan.quark.cn/s/5142b7f52cc2</v>
      </c>
      <c r="C1045" t="inlineStr">
        <is>
          <t>48.3MB</t>
        </is>
      </c>
      <c r="D1045" t="inlineStr">
        <is>
          <t>/冀教版英语3上/15天备考/满分备考/教辅/K12/学龄儿童家长</t>
        </is>
      </c>
      <c r="E1045" t="inlineStr">
        <is>
          <t>https://dcn8qexvg13r.feishu.cn/share/base/query/shrcnMqxwwRkV3NUIUxPeab3sec</t>
        </is>
      </c>
      <c r="F1045" t="inlineStr">
        <is>
          <t>请添加微信：k846211</t>
        </is>
      </c>
      <c r="G1045" t="inlineStr">
        <is>
          <t>2025-12-24</t>
        </is>
      </c>
    </row>
    <row r="1046" ht="25.5" customHeight="1">
      <c r="A1046" t="inlineStr">
        <is>
          <t>🍎⭐️25秋《15天满分备考》冀教版英语4上.pdf</t>
        </is>
      </c>
      <c r="B1046" s="2" t="str">
        <f>=HYPERLINK("https://pan.quark.cn/s/f0bdc59b9511", "https://pan.quark.cn/s/f0bdc59b9511")</f>
        <v>https://pan.quark.cn/s/f0bdc59b9511</v>
      </c>
      <c r="C1046" t="inlineStr">
        <is>
          <t>48.9MB</t>
        </is>
      </c>
      <c r="D1046" t="inlineStr">
        <is>
          <t>/冀教版英语4上/15天备考/满分备考/小学英语/K12/学龄儿童家长</t>
        </is>
      </c>
      <c r="E1046" t="inlineStr">
        <is>
          <t>https://dcn8qexvg13r.feishu.cn/share/base/query/shrcnMqxwwRkV3NUIUxPeab3sec</t>
        </is>
      </c>
      <c r="F1046" t="inlineStr">
        <is>
          <t>请添加微信：k846211</t>
        </is>
      </c>
      <c r="G1046" t="inlineStr">
        <is>
          <t>2025-12-24</t>
        </is>
      </c>
    </row>
    <row r="1047" ht="25.5" customHeight="1">
      <c r="A1047" t="inlineStr">
        <is>
          <t>🍎⭐️25秋《15天满分备考》冀教版5上.pdf</t>
        </is>
      </c>
      <c r="B1047" s="2" t="str">
        <f>=HYPERLINK("https://pan.quark.cn/s/8af4da6f7646", "https://pan.quark.cn/s/8af4da6f7646")</f>
        <v>https://pan.quark.cn/s/8af4da6f7646</v>
      </c>
      <c r="C1047" t="inlineStr">
        <is>
          <t>42.8MB</t>
        </is>
      </c>
      <c r="D1047" t="inlineStr">
        <is>
          <t>/25秋/15天满分备考/冀教版5上/小学五年级/K12/学龄儿童家长</t>
        </is>
      </c>
      <c r="E1047" t="inlineStr">
        <is>
          <t>https://dcn8qexvg13r.feishu.cn/share/base/query/shrcnMqxwwRkV3NUIUxPeab3sec</t>
        </is>
      </c>
      <c r="F1047" t="inlineStr">
        <is>
          <t>请添加微信：k846211</t>
        </is>
      </c>
      <c r="G1047" t="inlineStr">
        <is>
          <t>2025-12-24</t>
        </is>
      </c>
    </row>
    <row r="1048" ht="25.5" customHeight="1">
      <c r="A1048" t="inlineStr">
        <is>
          <t>🍎⭐️25秋《15天满分备考》冀教版6上.pdf</t>
        </is>
      </c>
      <c r="B1048" s="2" t="str">
        <f>=HYPERLINK("https://pan.quark.cn/s/a033c9279d20", "https://pan.quark.cn/s/a033c9279d20")</f>
        <v>https://pan.quark.cn/s/a033c9279d20</v>
      </c>
      <c r="C1048" t="inlineStr">
        <is>
          <t>43.1MB</t>
        </is>
      </c>
      <c r="D1048" t="inlineStr">
        <is>
          <t>/冀教版6上/15天满分备考/小学英语/备考资料/K12/学龄儿童家长</t>
        </is>
      </c>
      <c r="E1048" t="inlineStr">
        <is>
          <t>https://dcn8qexvg13r.feishu.cn/share/base/query/shrcnMqxwwRkV3NUIUxPeab3sec</t>
        </is>
      </c>
      <c r="F1048" t="inlineStr">
        <is>
          <t>请添加微信：k846211</t>
        </is>
      </c>
      <c r="G1048" t="inlineStr">
        <is>
          <t>2025-12-24</t>
        </is>
      </c>
    </row>
    <row r="1049" ht="25.5" customHeight="1">
      <c r="A1049" t="inlineStr">
        <is>
          <t>🍎⭐️标点符号专项训练本.pdf</t>
        </is>
      </c>
      <c r="B1049" s="2" t="str">
        <f>=HYPERLINK("https://pan.quark.cn/s/4125e3d96121", "https://pan.quark.cn/s/4125e3d96121")</f>
        <v>https://pan.quark.cn/s/4125e3d96121</v>
      </c>
      <c r="C1049" t="inlineStr">
        <is>
          <t>6.2MB</t>
        </is>
      </c>
      <c r="D1049" t="inlineStr">
        <is>
          <t>/标点符号/专项训练/练习本/K12/学龄儿童家长</t>
        </is>
      </c>
      <c r="E1049" t="inlineStr">
        <is>
          <t>https://dcn8qexvg13r.feishu.cn/share/base/query/shrcnMqxwwRkV3NUIUxPeab3sec</t>
        </is>
      </c>
      <c r="F1049" t="inlineStr">
        <is>
          <t>请添加微信：k846211</t>
        </is>
      </c>
      <c r="G1049" t="inlineStr">
        <is>
          <t>2025-12-24</t>
        </is>
      </c>
    </row>
    <row r="1050" ht="25.5" customHeight="1">
      <c r="A1050" t="inlineStr">
        <is>
          <t>🍎⭐️金版学练优人教25年上册</t>
        </is>
      </c>
      <c r="B1050" s="2" t="str">
        <f>=HYPERLINK("https://pan.quark.cn/s/3eb4475cd4da", "https://pan.quark.cn/s/3eb4475cd4da")</f>
        <v>https://pan.quark.cn/s/3eb4475cd4da</v>
      </c>
      <c r="C1050" t="inlineStr">
        <is>
          <t>430.1MB</t>
        </is>
      </c>
      <c r="D1050" t="inlineStr">
        <is>
          <t>/金版学练优/人教版/同步练习/小学/教辅/K12/学龄儿童家长</t>
        </is>
      </c>
      <c r="E1050" t="inlineStr">
        <is>
          <t>https://dcn8qexvg13r.feishu.cn/share/base/query/shrcnMqxwwRkV3NUIUxPeab3sec</t>
        </is>
      </c>
      <c r="F1050" t="inlineStr">
        <is>
          <t>请添加微信：k846211</t>
        </is>
      </c>
      <c r="G1050" t="inlineStr">
        <is>
          <t>2025-12-24</t>
        </is>
      </c>
    </row>
    <row r="1051" ht="25.5" customHeight="1">
      <c r="A1051" t="inlineStr">
        <is>
          <t>🍎⭐️孟建平期末真题卷教科25年上册</t>
        </is>
      </c>
      <c r="B1051" s="2" t="str">
        <f>=HYPERLINK("https://pan.quark.cn/s/1afc00536f8e", "https://pan.quark.cn/s/1afc00536f8e")</f>
        <v>https://pan.quark.cn/s/1afc00536f8e</v>
      </c>
      <c r="C1051" t="inlineStr">
        <is>
          <t>287.0MB</t>
        </is>
      </c>
      <c r="D1051" t="inlineStr">
        <is>
          <t>/孟建平/期末真题/教科版/小学上册/学龄儿童家长/K12</t>
        </is>
      </c>
      <c r="E1051" t="inlineStr">
        <is>
          <t>https://dcn8qexvg13r.feishu.cn/share/base/query/shrcnMqxwwRkV3NUIUxPeab3sec</t>
        </is>
      </c>
      <c r="F1051" t="inlineStr">
        <is>
          <t>请添加微信：k846211</t>
        </is>
      </c>
      <c r="G1051" t="inlineStr">
        <is>
          <t>2025-12-24</t>
        </is>
      </c>
    </row>
    <row r="1052" ht="25.5" customHeight="1">
      <c r="A1052" t="inlineStr">
        <is>
          <t>🍎⭐️孟建平期末真题卷pep25年上册34</t>
        </is>
      </c>
      <c r="B1052" s="2" t="str">
        <f>=HYPERLINK("https://pan.quark.cn/s/ead73d9ba22d", "https://pan.quark.cn/s/ead73d9ba22d")</f>
        <v>https://pan.quark.cn/s/ead73d9ba22d</v>
      </c>
      <c r="C1052" t="inlineStr">
        <is>
          <t>215.0MB</t>
        </is>
      </c>
      <c r="D1052" t="inlineStr">
        <is>
          <t>/孟建平/期末真题/pep/小学英语/学龄儿童家长</t>
        </is>
      </c>
      <c r="E1052" t="inlineStr">
        <is>
          <t>https://dcn8qexvg13r.feishu.cn/share/base/query/shrcnMqxwwRkV3NUIUxPeab3sec</t>
        </is>
      </c>
      <c r="F1052" t="inlineStr">
        <is>
          <t>请添加微信：k846211</t>
        </is>
      </c>
      <c r="G1052" t="inlineStr">
        <is>
          <t>2025-12-24</t>
        </is>
      </c>
    </row>
    <row r="1053" ht="25.5" customHeight="1">
      <c r="A1053" t="inlineStr">
        <is>
          <t>🍎⭐️孟建平期末真题卷语文25年上册6</t>
        </is>
      </c>
      <c r="B1053" s="2" t="str">
        <f>=HYPERLINK("https://pan.quark.cn/s/83548694d87b", "https://pan.quark.cn/s/83548694d87b")</f>
        <v>https://pan.quark.cn/s/83548694d87b</v>
      </c>
      <c r="C1053" t="inlineStr">
        <is>
          <t>196.4MB</t>
        </is>
      </c>
      <c r="D1053" t="inlineStr">
        <is>
          <t>/孟建平/语文/期末真题/小学6年级/K12/学龄儿童家长</t>
        </is>
      </c>
      <c r="E1053" t="inlineStr">
        <is>
          <t>https://dcn8qexvg13r.feishu.cn/share/base/query/shrcnMqxwwRkV3NUIUxPeab3sec</t>
        </is>
      </c>
      <c r="F1053" t="inlineStr">
        <is>
          <t>请添加微信：k846211</t>
        </is>
      </c>
      <c r="G1053" t="inlineStr">
        <is>
          <t>2025-12-24</t>
        </is>
      </c>
    </row>
    <row r="1054" ht="25.5" customHeight="1">
      <c r="A1054" t="inlineStr">
        <is>
          <t>🍎⭐️人教版小学数学1-6年级上册《期末综合复习》</t>
        </is>
      </c>
      <c r="B1054" s="2" t="str">
        <f>=HYPERLINK("https://pan.quark.cn/s/cc88d827d678", "https://pan.quark.cn/s/cc88d827d678")</f>
        <v>https://pan.quark.cn/s/cc88d827d678</v>
      </c>
      <c r="C1054" t="inlineStr">
        <is>
          <t>55.6MB</t>
        </is>
      </c>
      <c r="D1054" t="inlineStr">
        <is>
          <t>/人教版小学数学/期末综合复习/1-6年级上册/K12/学龄儿童家长</t>
        </is>
      </c>
      <c r="E1054" t="inlineStr">
        <is>
          <t>https://dcn8qexvg13r.feishu.cn/share/base/query/shrcnMqxwwRkV3NUIUxPeab3sec</t>
        </is>
      </c>
      <c r="F1054" t="inlineStr">
        <is>
          <t>请添加微信：k846211</t>
        </is>
      </c>
      <c r="G1054" t="inlineStr">
        <is>
          <t>2025-12-24</t>
        </is>
      </c>
    </row>
    <row r="1055" ht="25.5" customHeight="1">
      <c r="A1055" t="inlineStr">
        <is>
          <t>🍎⭐️小学语文1-6年级上册《考前必备》</t>
        </is>
      </c>
      <c r="B1055" s="2" t="str">
        <f>=HYPERLINK("https://pan.quark.cn/s/85deeb94d550", "https://pan.quark.cn/s/85deeb94d550")</f>
        <v>https://pan.quark.cn/s/85deeb94d550</v>
      </c>
      <c r="C1055" t="inlineStr">
        <is>
          <t>35.8MB</t>
        </is>
      </c>
      <c r="D1055" t="inlineStr">
        <is>
          <t>/小学语文/1-6年级/上册/考前必备/K12/学龄儿童家长</t>
        </is>
      </c>
      <c r="E1055" t="inlineStr">
        <is>
          <t>https://dcn8qexvg13r.feishu.cn/share/base/query/shrcnMqxwwRkV3NUIUxPeab3sec</t>
        </is>
      </c>
      <c r="F1055" t="inlineStr">
        <is>
          <t>请添加微信：k846211</t>
        </is>
      </c>
      <c r="G1055" t="inlineStr">
        <is>
          <t>2025-12-24</t>
        </is>
      </c>
    </row>
    <row r="1056" ht="25.5" customHeight="1">
      <c r="A1056" t="inlineStr">
        <is>
          <t>🍎⭐️统编版小学语文1-6年级上册《期末必刷卷》</t>
        </is>
      </c>
      <c r="B1056" s="2" t="str">
        <f>=HYPERLINK("https://pan.quark.cn/s/d8d10a2b41f0", "https://pan.quark.cn/s/d8d10a2b41f0")</f>
        <v>https://pan.quark.cn/s/d8d10a2b41f0</v>
      </c>
      <c r="C1056" t="inlineStr">
        <is>
          <t>522.3MB</t>
        </is>
      </c>
      <c r="D1056" t="inlineStr">
        <is>
          <t>/统编版小学语文/期末必刷卷/1-6年级上册/小学语文学业提升/K12/学龄儿童家长</t>
        </is>
      </c>
      <c r="E1056" t="inlineStr">
        <is>
          <t>https://dcn8qexvg13r.feishu.cn/share/base/query/shrcnMqxwwRkV3NUIUxPeab3sec</t>
        </is>
      </c>
      <c r="F1056" t="inlineStr">
        <is>
          <t>请添加微信：k846211</t>
        </is>
      </c>
      <c r="G1056" t="inlineStr">
        <is>
          <t>2025-12-24</t>
        </is>
      </c>
    </row>
    <row r="1057" ht="25.5" customHeight="1">
      <c r="A1057" t="inlineStr">
        <is>
          <t>🍎⭐️小学奥数知识体系思维导图与知识点汇总</t>
        </is>
      </c>
      <c r="B1057" s="2" t="str">
        <f>=HYPERLINK("https://pan.quark.cn/s/5427ce0de21d", "https://pan.quark.cn/s/5427ce0de21d")</f>
        <v>https://pan.quark.cn/s/5427ce0de21d</v>
      </c>
      <c r="C1057" t="inlineStr">
        <is>
          <t>4.7MB</t>
        </is>
      </c>
      <c r="D1057" t="inlineStr">
        <is>
          <t>/小学奥数/知识体系/思维导图/知识点汇总/K12/学龄儿童家长</t>
        </is>
      </c>
      <c r="E1057" t="inlineStr">
        <is>
          <t>https://dcn8qexvg13r.feishu.cn/share/base/query/shrcnMqxwwRkV3NUIUxPeab3sec</t>
        </is>
      </c>
      <c r="F1057" t="inlineStr">
        <is>
          <t>请添加微信：k846211</t>
        </is>
      </c>
      <c r="G1057" t="inlineStr">
        <is>
          <t>2025-12-24</t>
        </is>
      </c>
    </row>
    <row r="1058" ht="25.5" customHeight="1">
      <c r="A1058" t="inlineStr">
        <is>
          <t>🍎⭐️硬笔书法作品纸（可打印）</t>
        </is>
      </c>
      <c r="B1058" s="2" t="str">
        <f>=HYPERLINK("https://pan.quark.cn/s/8b9222c6907c", "https://pan.quark.cn/s/8b9222c6907c")</f>
        <v>https://pan.quark.cn/s/8b9222c6907c</v>
      </c>
      <c r="C1058" t="inlineStr">
        <is>
          <t>137.0MB</t>
        </is>
      </c>
      <c r="D1058" t="inlineStr">
        <is>
          <t>/硬笔书法/作品纸/可打印/K12/学龄儿童家长</t>
        </is>
      </c>
      <c r="E1058" t="inlineStr">
        <is>
          <t>https://dcn8qexvg13r.feishu.cn/share/base/query/shrcnMqxwwRkV3NUIUxPeab3sec</t>
        </is>
      </c>
      <c r="F1058" t="inlineStr">
        <is>
          <t>请添加微信：k846211</t>
        </is>
      </c>
      <c r="G1058" t="inlineStr">
        <is>
          <t>2025-12-24</t>
        </is>
      </c>
    </row>
    <row r="1059" ht="25.5" customHeight="1">
      <c r="A1059" t="inlineStr">
        <is>
          <t>🍎⭐️楷书正楷合集【108套】</t>
        </is>
      </c>
      <c r="B1059" s="2" t="str">
        <f>=HYPERLINK("https://pan.quark.cn/s/1bc42da961ea", "https://pan.quark.cn/s/1bc42da961ea")</f>
        <v>https://pan.quark.cn/s/1bc42da961ea</v>
      </c>
      <c r="C1059" t="inlineStr">
        <is>
          <t>786.1MB</t>
        </is>
      </c>
      <c r="D1059" t="inlineStr">
        <is>
          <t>/楷书/正楷/书法/练字/技能入门/K12</t>
        </is>
      </c>
      <c r="E1059" t="inlineStr">
        <is>
          <t>https://dcn8qexvg13r.feishu.cn/share/base/query/shrcnMqxwwRkV3NUIUxPeab3sec</t>
        </is>
      </c>
      <c r="F1059" t="inlineStr">
        <is>
          <t>请添加微信：k846211</t>
        </is>
      </c>
      <c r="G1059" t="inlineStr">
        <is>
          <t>2025-12-24</t>
        </is>
      </c>
    </row>
    <row r="1060" ht="25.5" customHeight="1">
      <c r="A1060" t="inlineStr">
        <is>
          <t>🍎⭐️字帖书法杂集280套</t>
        </is>
      </c>
      <c r="B1060" s="2" t="str">
        <f>=HYPERLINK("https://pan.quark.cn/s/b1fcd271a95a", "https://pan.quark.cn/s/b1fcd271a95a")</f>
        <v>https://pan.quark.cn/s/b1fcd271a95a</v>
      </c>
      <c r="C1060" t="inlineStr">
        <is>
          <t>1.3GB</t>
        </is>
      </c>
      <c r="D1060" t="inlineStr">
        <is>
          <t>/书法/字帖/练字/艺术/K12/宝妈/家长群体</t>
        </is>
      </c>
      <c r="E1060" t="inlineStr">
        <is>
          <t>https://dcn8qexvg13r.feishu.cn/share/base/query/shrcnMqxwwRkV3NUIUxPeab3sec</t>
        </is>
      </c>
      <c r="F1060" t="inlineStr">
        <is>
          <t>请添加微信：k846211</t>
        </is>
      </c>
      <c r="G1060" t="inlineStr">
        <is>
          <t>2025-12-24</t>
        </is>
      </c>
    </row>
    <row r="1061" ht="25.5" customHeight="1">
      <c r="A1061" t="inlineStr">
        <is>
          <t>25秋三上人教数学期末押题卷3.pdf</t>
        </is>
      </c>
      <c r="B1061" s="2" t="str">
        <f>=HYPERLINK("https://pan.quark.cn/s/f847473336ea", "https://pan.quark.cn/s/f847473336ea")</f>
        <v>https://pan.quark.cn/s/f847473336ea</v>
      </c>
      <c r="C1061" t="inlineStr">
        <is>
          <t>57.0MB</t>
        </is>
      </c>
      <c r="D1061" t="inlineStr">
        <is>
          <t>/三年级数学/人教版/期末押题/试卷/K12/学龄儿童家长</t>
        </is>
      </c>
      <c r="E1061" t="inlineStr">
        <is>
          <t>https://dcn8qexvg13r.feishu.cn/share/base/query/shrcnMqxwwRkV3NUIUxPeab3sec</t>
        </is>
      </c>
      <c r="F1061" t="inlineStr">
        <is>
          <t>请添加微信：k846211</t>
        </is>
      </c>
      <c r="G1061" t="inlineStr">
        <is>
          <t>2025-12-25</t>
        </is>
      </c>
    </row>
    <row r="1062" ht="25.5" customHeight="1">
      <c r="A1062" t="inlineStr">
        <is>
          <t>25秋六上北师数学期末押题卷5套 (1).pdf</t>
        </is>
      </c>
      <c r="B1062" s="2" t="str">
        <f>=HYPERLINK("https://pan.quark.cn/s/92899ab72ddd", "https://pan.quark.cn/s/92899ab72ddd")</f>
        <v>https://pan.quark.cn/s/92899ab72ddd</v>
      </c>
      <c r="C1062" t="inlineStr">
        <is>
          <t>65.0MB</t>
        </is>
      </c>
      <c r="D1062" t="inlineStr">
        <is>
          <t>/25秋/六上/北师数学/期末押题卷/K12/学龄儿童家长</t>
        </is>
      </c>
      <c r="E1062" t="inlineStr">
        <is>
          <t>https://dcn8qexvg13r.feishu.cn/share/base/query/shrcnMqxwwRkV3NUIUxPeab3sec</t>
        </is>
      </c>
      <c r="F1062" t="inlineStr">
        <is>
          <t>请添加微信：k846211</t>
        </is>
      </c>
      <c r="G1062" t="inlineStr">
        <is>
          <t>2025-12-25</t>
        </is>
      </c>
    </row>
    <row r="1063" ht="25.5" customHeight="1">
      <c r="A1063" t="inlineStr">
        <is>
          <t>25秋六上苏教数学期末押题卷5套 (1).pdf</t>
        </is>
      </c>
      <c r="B1063" s="2" t="str">
        <f>=HYPERLINK("https://pan.quark.cn/s/9caaff3b25ec", "https://pan.quark.cn/s/9caaff3b25ec")</f>
        <v>https://pan.quark.cn/s/9caaff3b25ec</v>
      </c>
      <c r="C1063" t="inlineStr">
        <is>
          <t>65.1MB</t>
        </is>
      </c>
      <c r="D1063" t="inlineStr">
        <is>
          <t>/25秋/六上/苏教数学/期末押题卷/K12/学龄儿童家长</t>
        </is>
      </c>
      <c r="E1063" t="inlineStr">
        <is>
          <t>https://dcn8qexvg13r.feishu.cn/share/base/query/shrcnMqxwwRkV3NUIUxPeab3sec</t>
        </is>
      </c>
      <c r="F1063" t="inlineStr">
        <is>
          <t>请添加微信：k846211</t>
        </is>
      </c>
      <c r="G1063" t="inlineStr">
        <is>
          <t>2025-12-25</t>
        </is>
      </c>
    </row>
    <row r="1064" ht="25.5" customHeight="1">
      <c r="A1064" t="inlineStr">
        <is>
          <t>25秋六上语文期末押题卷5套..pdf</t>
        </is>
      </c>
      <c r="B1064" s="2" t="str">
        <f>=HYPERLINK("https://pan.quark.cn/s/c12c39ce7cff", "https://pan.quark.cn/s/c12c39ce7cff")</f>
        <v>https://pan.quark.cn/s/c12c39ce7cff</v>
      </c>
      <c r="C1064" t="inlineStr">
        <is>
          <t>86.2MB</t>
        </is>
      </c>
      <c r="D1064" t="inlineStr">
        <is>
          <t>/六年级上册/语文期末/押题卷/小学教辅/K12/学龄儿童家长</t>
        </is>
      </c>
      <c r="E1064" t="inlineStr">
        <is>
          <t>https://dcn8qexvg13r.feishu.cn/share/base/query/shrcnMqxwwRkV3NUIUxPeab3sec</t>
        </is>
      </c>
      <c r="F1064" t="inlineStr">
        <is>
          <t>请添加微信：k846211</t>
        </is>
      </c>
      <c r="G1064" t="inlineStr">
        <is>
          <t>2025-12-25</t>
        </is>
      </c>
    </row>
    <row r="1065" ht="25.5" customHeight="1">
      <c r="A1065" t="inlineStr">
        <is>
          <t>25数六上人教PEP英语期末押题卷5套.pdf</t>
        </is>
      </c>
      <c r="B1065" s="2" t="str">
        <f>=HYPERLINK("https://pan.quark.cn/s/90bf166cab1e", "https://pan.quark.cn/s/90bf166cab1e")</f>
        <v>https://pan.quark.cn/s/90bf166cab1e</v>
      </c>
      <c r="C1065" t="inlineStr">
        <is>
          <t>53.0MB</t>
        </is>
      </c>
      <c r="D1065" t="inlineStr">
        <is>
          <t>/六年级上册/英语/期末押题卷/K12/学龄儿童家长</t>
        </is>
      </c>
      <c r="E1065" t="inlineStr">
        <is>
          <t>https://dcn8qexvg13r.feishu.cn/share/base/query/shrcnMqxwwRkV3NUIUxPeab3sec</t>
        </is>
      </c>
      <c r="F1065" t="inlineStr">
        <is>
          <t>请添加微信：k846211</t>
        </is>
      </c>
      <c r="G1065" t="inlineStr">
        <is>
          <t>2025-12-25</t>
        </is>
      </c>
    </row>
    <row r="1066" ht="25.5" customHeight="1">
      <c r="A1066" t="inlineStr">
        <is>
          <t>《期末考试真题重点专练》（1年级上册）.pdf</t>
        </is>
      </c>
      <c r="B1066" s="2" t="str">
        <f>=HYPERLINK("https://pan.quark.cn/s/f46a279c2124", "https://pan.quark.cn/s/f46a279c2124")</f>
        <v>https://pan.quark.cn/s/f46a279c2124</v>
      </c>
      <c r="C1066" t="inlineStr">
        <is>
          <t>17.3MB</t>
        </is>
      </c>
      <c r="D1066" t="inlineStr">
        <is>
          <t>/期末考试/真题/重点专练/1年级上册/K12/学龄儿童家长</t>
        </is>
      </c>
      <c r="E1066" t="inlineStr">
        <is>
          <t>https://dcn8qexvg13r.feishu.cn/share/base/query/shrcnMqxwwRkV3NUIUxPeab3sec</t>
        </is>
      </c>
      <c r="F1066" t="inlineStr">
        <is>
          <t>请添加微信：k846211</t>
        </is>
      </c>
      <c r="G1066" t="inlineStr">
        <is>
          <t>2025-12-25</t>
        </is>
      </c>
    </row>
    <row r="1067" ht="25.5" customHeight="1">
      <c r="A1067" t="inlineStr">
        <is>
          <t>【25秋二上语文历年期末常考真题综合小测六套（含答案23页）.pdf</t>
        </is>
      </c>
      <c r="B1067" s="2" t="str">
        <f>=HYPERLINK("https://pan.quark.cn/s/bb772e47dfa3", "https://pan.quark.cn/s/bb772e47dfa3")</f>
        <v>https://pan.quark.cn/s/bb772e47dfa3</v>
      </c>
      <c r="C1067" t="inlineStr">
        <is>
          <t>2.0MB</t>
        </is>
      </c>
      <c r="D1067" t="inlineStr">
        <is>
          <t>/25秋二上语文/期末真题/综合小测/K12/学龄儿童家长</t>
        </is>
      </c>
      <c r="E1067" t="inlineStr">
        <is>
          <t>https://dcn8qexvg13r.feishu.cn/share/base/query/shrcnMqxwwRkV3NUIUxPeab3sec</t>
        </is>
      </c>
      <c r="F1067" t="inlineStr">
        <is>
          <t>请添加微信：k846211</t>
        </is>
      </c>
      <c r="G1067" t="inlineStr">
        <is>
          <t>2025-12-25</t>
        </is>
      </c>
    </row>
    <row r="1068" ht="25.5" customHeight="1">
      <c r="A1068" t="inlineStr">
        <is>
          <t>【25秋三上语文历年期末常考真题综合小测八套（含答案31页）.pdf</t>
        </is>
      </c>
      <c r="B1068" s="2" t="str">
        <f>=HYPERLINK("https://pan.quark.cn/s/0fe545bd3895", "https://pan.quark.cn/s/0fe545bd3895")</f>
        <v>https://pan.quark.cn/s/0fe545bd3895</v>
      </c>
      <c r="C1068" t="inlineStr">
        <is>
          <t>3.1MB</t>
        </is>
      </c>
      <c r="D1068" t="inlineStr">
        <is>
          <t>/25秋三上语文/期末真题/常考真题/综合小测/K12/学龄儿童家长</t>
        </is>
      </c>
      <c r="E1068" t="inlineStr">
        <is>
          <t>https://dcn8qexvg13r.feishu.cn/share/base/query/shrcnMqxwwRkV3NUIUxPeab3sec</t>
        </is>
      </c>
      <c r="F1068" t="inlineStr">
        <is>
          <t>请添加微信：k846211</t>
        </is>
      </c>
      <c r="G1068" t="inlineStr">
        <is>
          <t>2025-12-25</t>
        </is>
      </c>
    </row>
    <row r="1069" ht="25.5" customHeight="1">
      <c r="A1069" t="inlineStr">
        <is>
          <t>四上语文历年期末常考真题综合小测八套（含答案31页）.pdf</t>
        </is>
      </c>
      <c r="B1069" s="2" t="str">
        <f>=HYPERLINK("https://pan.quark.cn/s/8fcb42503ad9", "https://pan.quark.cn/s/8fcb42503ad9")</f>
        <v>https://pan.quark.cn/s/8fcb42503ad9</v>
      </c>
      <c r="C1069" t="inlineStr">
        <is>
          <t>2.0MB</t>
        </is>
      </c>
      <c r="D1069" t="inlineStr">
        <is>
          <t>/四上语文/期末真题/综合小测/含答案/K12/学龄儿童家长</t>
        </is>
      </c>
      <c r="E1069" t="inlineStr">
        <is>
          <t>https://dcn8qexvg13r.feishu.cn/share/base/query/shrcnMqxwwRkV3NUIUxPeab3sec</t>
        </is>
      </c>
      <c r="F1069" t="inlineStr">
        <is>
          <t>请添加微信：k846211</t>
        </is>
      </c>
      <c r="G1069" t="inlineStr">
        <is>
          <t>2025-12-25</t>
        </is>
      </c>
    </row>
    <row r="1070" ht="25.5" customHeight="1">
      <c r="A1070" t="inlineStr">
        <is>
          <t>五上语文【历年期末常考真题综合小测-30页】.pdf</t>
        </is>
      </c>
      <c r="B1070" s="2" t="str">
        <f>=HYPERLINK("https://pan.quark.cn/s/e2ba7d8367f2", "https://pan.quark.cn/s/e2ba7d8367f2")</f>
        <v>https://pan.quark.cn/s/e2ba7d8367f2</v>
      </c>
      <c r="C1070" t="inlineStr">
        <is>
          <t>1.9MB</t>
        </is>
      </c>
      <c r="D1070" t="inlineStr">
        <is>
          <t>/五上语文/期末真题/综合小测/K12/学龄儿童家长</t>
        </is>
      </c>
      <c r="E1070" t="inlineStr">
        <is>
          <t>https://dcn8qexvg13r.feishu.cn/share/base/query/shrcnMqxwwRkV3NUIUxPeab3sec</t>
        </is>
      </c>
      <c r="F1070" t="inlineStr">
        <is>
          <t>请添加微信：k846211</t>
        </is>
      </c>
      <c r="G1070" t="inlineStr">
        <is>
          <t>2025-12-25</t>
        </is>
      </c>
    </row>
    <row r="1071" ht="25.5" customHeight="1">
      <c r="A1071" t="inlineStr">
        <is>
          <t>六上语文·历年期末常考真题综合小测-28页.pdf</t>
        </is>
      </c>
      <c r="B1071" s="2" t="str">
        <f>=HYPERLINK("https://pan.quark.cn/s/6e6a90bf66a7", "https://pan.quark.cn/s/6e6a90bf66a7")</f>
        <v>https://pan.quark.cn/s/6e6a90bf66a7</v>
      </c>
      <c r="C1071" t="inlineStr">
        <is>
          <t>2.5MB</t>
        </is>
      </c>
      <c r="D1071" t="inlineStr">
        <is>
          <t>/六上语文/期末真题/综合小测/K12/学龄儿童家长</t>
        </is>
      </c>
      <c r="E1071" t="inlineStr">
        <is>
          <t>https://dcn8qexvg13r.feishu.cn/share/base/query/shrcnMqxwwRkV3NUIUxPeab3sec</t>
        </is>
      </c>
      <c r="F1071" t="inlineStr">
        <is>
          <t>请添加微信：k846211</t>
        </is>
      </c>
      <c r="G1071" t="inlineStr">
        <is>
          <t>2025-12-25</t>
        </is>
      </c>
    </row>
    <row r="1072" ht="25.5" customHeight="1">
      <c r="A1072" t="inlineStr">
        <is>
          <t>人教版1-6年级语文《期末考试卷》-25秋季</t>
        </is>
      </c>
      <c r="B1072" s="2" t="str">
        <f>=HYPERLINK("https://pan.quark.cn/s/6419f6c1efca", "https://pan.quark.cn/s/6419f6c1efca")</f>
        <v>https://pan.quark.cn/s/6419f6c1efca</v>
      </c>
      <c r="C1072" t="inlineStr">
        <is>
          <t>105.2MB</t>
        </is>
      </c>
      <c r="D1072" t="inlineStr">
        <is>
          <t>/人教版/小学语文/1-6年级/期末考试卷/K12/学龄儿童家长</t>
        </is>
      </c>
      <c r="E1072" t="inlineStr">
        <is>
          <t>https://dcn8qexvg13r.feishu.cn/share/base/query/shrcnMqxwwRkV3NUIUxPeab3sec</t>
        </is>
      </c>
      <c r="F1072" t="inlineStr">
        <is>
          <t>请添加微信：k846211</t>
        </is>
      </c>
      <c r="G1072" t="inlineStr">
        <is>
          <t>2025-12-27</t>
        </is>
      </c>
    </row>
    <row r="1073" ht="25.5" customHeight="1">
      <c r="A1073" t="inlineStr">
        <is>
          <t>1-6年级数学《期末考试卷》-25秋季</t>
        </is>
      </c>
      <c r="B1073" s="2" t="str">
        <f>=HYPERLINK("https://pan.quark.cn/s/d33c1ac97226", "https://pan.quark.cn/s/d33c1ac97226")</f>
        <v>https://pan.quark.cn/s/d33c1ac97226</v>
      </c>
      <c r="C1073" t="inlineStr">
        <is>
          <t>166.0MB</t>
        </is>
      </c>
      <c r="D1073" t="inlineStr">
        <is>
          <t>/小学数学/期末考试卷/25秋季/检测评估/学龄儿童家长/K12</t>
        </is>
      </c>
      <c r="E1073" t="inlineStr">
        <is>
          <t>https://dcn8qexvg13r.feishu.cn/share/base/query/shrcnMqxwwRkV3NUIUxPeab3sec</t>
        </is>
      </c>
      <c r="F1073" t="inlineStr">
        <is>
          <t>请添加微信：k846211</t>
        </is>
      </c>
      <c r="G1073" t="inlineStr">
        <is>
          <t>2025-12-27</t>
        </is>
      </c>
    </row>
    <row r="1074" ht="25.5" customHeight="1">
      <c r="A1074" t="inlineStr">
        <is>
          <t>人教版3-6年级英语《期末考试卷》-25秋季</t>
        </is>
      </c>
      <c r="B1074" s="2" t="str">
        <f>=HYPERLINK("https://pan.quark.cn/s/4790dbc46ebc", "https://pan.quark.cn/s/4790dbc46ebc")</f>
        <v>https://pan.quark.cn/s/4790dbc46ebc</v>
      </c>
      <c r="C1074" t="inlineStr">
        <is>
          <t>63.9MB</t>
        </is>
      </c>
      <c r="D1074" t="inlineStr">
        <is>
          <t>/人教版/3-6年级英语/期末考试卷/英语学习/K12/学龄儿童家长</t>
        </is>
      </c>
      <c r="E1074" t="inlineStr">
        <is>
          <t>https://dcn8qexvg13r.feishu.cn/share/base/query/shrcnMqxwwRkV3NUIUxPeab3sec</t>
        </is>
      </c>
      <c r="F1074" t="inlineStr">
        <is>
          <t>请添加微信：k846211</t>
        </is>
      </c>
      <c r="G1074" t="inlineStr">
        <is>
          <t>2025-12-27</t>
        </is>
      </c>
    </row>
    <row r="1075" ht="25.5" customHeight="1">
      <c r="A1075" t="inlineStr">
        <is>
          <t>25秋数学单元活页卷人教</t>
        </is>
      </c>
      <c r="B1075" s="2" t="str">
        <f>=HYPERLINK("https://pan.quark.cn/s/290dea680d0e", "https://pan.quark.cn/s/290dea680d0e")</f>
        <v>https://pan.quark.cn/s/290dea680d0e</v>
      </c>
      <c r="C1075" t="inlineStr">
        <is>
          <t>1.2GB</t>
        </is>
      </c>
      <c r="D1075" t="inlineStr">
        <is>
          <t>/数学/单元活页卷/人教版/25秋/K12/学龄儿童家长</t>
        </is>
      </c>
      <c r="E1075" t="inlineStr">
        <is>
          <t>https://dcn8qexvg13r.feishu.cn/share/base/query/shrcnMqxwwRkV3NUIUxPeab3sec</t>
        </is>
      </c>
      <c r="F1075" t="inlineStr">
        <is>
          <t>请添加微信：k846211</t>
        </is>
      </c>
      <c r="G1075" t="inlineStr">
        <is>
          <t>2025-12-27</t>
        </is>
      </c>
    </row>
    <row r="1076" ht="25.5" customHeight="1">
      <c r="A1076" t="inlineStr">
        <is>
          <t>期末押题作文25年上册</t>
        </is>
      </c>
      <c r="B1076" s="2" t="str">
        <f>=HYPERLINK("https://pan.quark.cn/s/cdd7b6df732e", "https://pan.quark.cn/s/cdd7b6df732e")</f>
        <v>https://pan.quark.cn/s/cdd7b6df732e</v>
      </c>
      <c r="C1076" t="inlineStr">
        <is>
          <t>53.0MB</t>
        </is>
      </c>
      <c r="D1076" t="inlineStr">
        <is>
          <t>/期末作文/押题/25年上册/K12/学龄儿童家长</t>
        </is>
      </c>
      <c r="E1076" t="inlineStr">
        <is>
          <t>https://dcn8qexvg13r.feishu.cn/share/base/query/shrcnMqxwwRkV3NUIUxPeab3sec</t>
        </is>
      </c>
      <c r="F1076" t="inlineStr">
        <is>
          <t>请添加微信：k846211</t>
        </is>
      </c>
      <c r="G1076" t="inlineStr">
        <is>
          <t>2025-12-27</t>
        </is>
      </c>
    </row>
    <row r="1077" ht="25.5" customHeight="1">
      <c r="A1077" t="inlineStr">
        <is>
          <t>新二上语文1-8单元高频考点总结单（十二个考点归纳）29页(7)(1).pdf</t>
        </is>
      </c>
      <c r="B1077" s="2" t="str">
        <f>=HYPERLINK("https://pan.quark.cn/s/4055cfd665d2", "https://pan.quark.cn/s/4055cfd665d2")</f>
        <v>https://pan.quark.cn/s/4055cfd665d2</v>
      </c>
      <c r="C1077" t="inlineStr">
        <is>
          <t>137.0MB</t>
        </is>
      </c>
      <c r="D1077" t="inlineStr">
        <is>
          <t>/新二上语文/高频考点/考点总结/单元归纳/K12/学龄儿童家长</t>
        </is>
      </c>
      <c r="E1077" t="inlineStr">
        <is>
          <t>https://dcn8qexvg13r.feishu.cn/share/base/query/shrcnMqxwwRkV3NUIUxPeab3sec</t>
        </is>
      </c>
      <c r="F1077" t="inlineStr">
        <is>
          <t>请添加微信：k846211</t>
        </is>
      </c>
      <c r="G1077" t="inlineStr">
        <is>
          <t>2025-12-27</t>
        </is>
      </c>
    </row>
    <row r="1078" ht="25.5" customHeight="1">
      <c r="A1078" t="inlineStr">
        <is>
          <t>25秋一年级上册期末复习专项合集</t>
        </is>
      </c>
      <c r="B1078" s="2" t="str">
        <f>=HYPERLINK("https://pan.quark.cn/s/3f0c49d54a2a", "https://pan.quark.cn/s/3f0c49d54a2a")</f>
        <v>https://pan.quark.cn/s/3f0c49d54a2a</v>
      </c>
      <c r="C1078" t="inlineStr">
        <is>
          <t>2.0GB</t>
        </is>
      </c>
      <c r="D1078" t="inlineStr">
        <is>
          <t>/一年级上册/期末复习/专项练习/K12/学龄儿童家长</t>
        </is>
      </c>
      <c r="E1078" t="inlineStr">
        <is>
          <t>https://dcn8qexvg13r.feishu.cn/share/base/query/shrcnMqxwwRkV3NUIUxPeab3sec</t>
        </is>
      </c>
      <c r="F1078" t="inlineStr">
        <is>
          <t>请添加微信：k846211</t>
        </is>
      </c>
      <c r="G1078" t="inlineStr">
        <is>
          <t>2025-12-27</t>
        </is>
      </c>
    </row>
    <row r="1079" ht="25.5" customHeight="1">
      <c r="A1079" t="inlineStr">
        <is>
          <t>少年得到系列(1)</t>
        </is>
      </c>
      <c r="B1079" s="2" t="str">
        <f>=HYPERLINK("https://pan.quark.cn/s/5a32e0dd9a9d", "https://pan.quark.cn/s/5a32e0dd9a9d")</f>
        <v>https://pan.quark.cn/s/5a32e0dd9a9d</v>
      </c>
      <c r="C1079" t="inlineStr">
        <is>
          <t>10.9GB</t>
        </is>
      </c>
      <c r="D1079" t="inlineStr">
        <is>
          <t>/少年教育/系列课程/知识学习/K12/学龄儿童家长</t>
        </is>
      </c>
      <c r="E1079" t="inlineStr">
        <is>
          <t>https://dcn8qexvg13r.feishu.cn/share/base/query/shrcnMqxwwRkV3NUIUxPeab3sec</t>
        </is>
      </c>
      <c r="F1079" t="inlineStr">
        <is>
          <t>请添加微信：k846211</t>
        </is>
      </c>
      <c r="G1079" t="inlineStr">
        <is>
          <t>2025-12-29</t>
        </is>
      </c>
    </row>
    <row r="1080" ht="25.5" customHeight="1">
      <c r="A1080" t="inlineStr">
        <is>
          <t>ABC~Reading英文口语练习英文精讲动画全315篇【小低~视频】</t>
        </is>
      </c>
      <c r="B1080" s="2" t="str">
        <f>=HYPERLINK("https://pan.quark.cn/s/58429f06ea79", "https://pan.quark.cn/s/58429f06ea79")</f>
        <v>https://pan.quark.cn/s/58429f06ea79</v>
      </c>
      <c r="C1080" t="inlineStr">
        <is>
          <t>45.8GB</t>
        </is>
      </c>
      <c r="D1080" t="inlineStr">
        <is>
          <t>/英文口语/英文精讲/动画/小低/学龄儿童家长/K12</t>
        </is>
      </c>
      <c r="E1080" t="inlineStr">
        <is>
          <t>https://dcn8qexvg13r.feishu.cn/share/base/query/shrcnMqxwwRkV3NUIUxPeab3sec</t>
        </is>
      </c>
      <c r="F1080" t="inlineStr">
        <is>
          <t>请添加微信：k846211</t>
        </is>
      </c>
      <c r="G1080" t="inlineStr">
        <is>
          <t>2025-12-29</t>
        </is>
      </c>
    </row>
    <row r="1081" ht="25.5" customHeight="1">
      <c r="A1081" t="inlineStr">
        <is>
          <t>1年上册语文《实验班 期末闯关必刷卷》25秋</t>
        </is>
      </c>
      <c r="B1081" s="2" t="str">
        <f>=HYPERLINK("https://pan.quark.cn/s/3655994954f1", "https://pan.quark.cn/s/3655994954f1")</f>
        <v>https://pan.quark.cn/s/3655994954f1</v>
      </c>
      <c r="C1081" t="inlineStr">
        <is>
          <t>396.9MB</t>
        </is>
      </c>
      <c r="D1081" t="inlineStr">
        <is>
          <t>/语文/期末闯关/必刷卷/1年级上册/学龄儿童家长/K12</t>
        </is>
      </c>
      <c r="E1081" t="inlineStr">
        <is>
          <t>https://dcn8qexvg13r.feishu.cn/share/base/query/shrcnMqxwwRkV3NUIUxPeab3sec</t>
        </is>
      </c>
      <c r="F1081" t="inlineStr">
        <is>
          <t>请添加微信：k846211</t>
        </is>
      </c>
      <c r="G1081" t="inlineStr">
        <is>
          <t>2025-12-29</t>
        </is>
      </c>
    </row>
    <row r="1082" ht="25.5" customHeight="1">
      <c r="A1082" t="inlineStr">
        <is>
          <t>初中《睡前默写》系列</t>
        </is>
      </c>
      <c r="B1082" s="2" t="str">
        <f>=HYPERLINK("https://pan.quark.cn/s/3b551570f0f2", "https://pan.quark.cn/s/3b551570f0f2")</f>
        <v>https://pan.quark.cn/s/3b551570f0f2</v>
      </c>
      <c r="C1082" t="inlineStr">
        <is>
          <t>17.3GB</t>
        </is>
      </c>
      <c r="D1082" t="inlineStr">
        <is>
          <t>/初中/默写/睡前学习/练习/K12/学龄儿童家长</t>
        </is>
      </c>
      <c r="E1082" t="inlineStr">
        <is>
          <t>https://dcn8qexvg13r.feishu.cn/share/base/query/shrcnMqxwwRkV3NUIUxPeab3sec</t>
        </is>
      </c>
      <c r="F1082" t="inlineStr">
        <is>
          <t>请添加微信：k846211</t>
        </is>
      </c>
      <c r="G1082" t="inlineStr">
        <is>
          <t>2025-12-29</t>
        </is>
      </c>
    </row>
    <row r="1083" ht="25.5" customHeight="1">
      <c r="A1083" t="inlineStr">
        <is>
          <t>🍎⭐️蝶变英语小学1000词</t>
        </is>
      </c>
      <c r="B1083" s="2" t="str">
        <f>=HYPERLINK("https://pan.quark.cn/s/d0d2f5df1777", "https://pan.quark.cn/s/d0d2f5df1777")</f>
        <v>https://pan.quark.cn/s/d0d2f5df1777</v>
      </c>
      <c r="C1083" t="inlineStr">
        <is>
          <t>456.9MB</t>
        </is>
      </c>
      <c r="D1083" t="inlineStr">
        <is>
          <t>/小学英语/词汇/英语学习/蝶变英语/K12/学龄儿童家长</t>
        </is>
      </c>
      <c r="E1083" t="inlineStr">
        <is>
          <t>https://dcn8qexvg13r.feishu.cn/share/base/query/shrcnMqxwwRkV3NUIUxPeab3sec</t>
        </is>
      </c>
      <c r="F1083" t="inlineStr">
        <is>
          <t>请添加微信：k846211</t>
        </is>
      </c>
      <c r="G1083" t="inlineStr">
        <is>
          <t>2025-12-29</t>
        </is>
      </c>
    </row>
    <row r="1084" ht="25.5" customHeight="1">
      <c r="A1084" t="inlineStr">
        <is>
          <t>2026马年手抄报合集</t>
        </is>
      </c>
      <c r="B1084" s="2" t="str">
        <f>=HYPERLINK("https://pan.quark.cn/s/7c115c536bf8", "https://pan.quark.cn/s/7c115c536bf8")</f>
        <v>https://pan.quark.cn/s/7c115c536bf8</v>
      </c>
      <c r="C1084" t="inlineStr">
        <is>
          <t>18.4GB</t>
        </is>
      </c>
      <c r="D1084" t="inlineStr">
        <is>
          <t>/马年/手抄报/K12/学龄儿童家长</t>
        </is>
      </c>
      <c r="E1084" t="inlineStr">
        <is>
          <t>https://dcn8qexvg13r.feishu.cn/share/base/query/shrcnMqxwwRkV3NUIUxPeab3sec</t>
        </is>
      </c>
      <c r="F1084" t="inlineStr">
        <is>
          <t>请添加微信：k846211</t>
        </is>
      </c>
      <c r="G1084" t="inlineStr">
        <is>
          <t>2026-01-02</t>
        </is>
      </c>
    </row>
    <row r="1085" ht="25.5" customHeight="1">
      <c r="A1085" t="inlineStr">
        <is>
          <t>一上语文每日晨读彩色版（生字拼音组词造句）19页.pdf</t>
        </is>
      </c>
      <c r="B1085" s="2" t="str">
        <f>=HYPERLINK("https://pan.quark.cn/s/835faa336591", "https://pan.quark.cn/s/835faa336591")</f>
        <v>https://pan.quark.cn/s/835faa336591</v>
      </c>
      <c r="C1085" t="inlineStr">
        <is>
          <t>69.1MB</t>
        </is>
      </c>
      <c r="D1085" t="inlineStr">
        <is>
          <t>/一年级语文/晨读材料/生字拼音组词造句/彩色版/K12/学龄儿童家长</t>
        </is>
      </c>
      <c r="E1085" t="inlineStr">
        <is>
          <t>https://dcn8qexvg13r.feishu.cn/share/base/query/shrcnMqxwwRkV3NUIUxPeab3sec</t>
        </is>
      </c>
      <c r="F1085" t="inlineStr">
        <is>
          <t>请添加微信：k846211</t>
        </is>
      </c>
      <c r="G1085" t="inlineStr">
        <is>
          <t>2026-01-02</t>
        </is>
      </c>
    </row>
    <row r="1086" ht="25.5" customHeight="1">
      <c r="A1086" t="inlineStr">
        <is>
          <t>1224【25秋一上数学期末押题模拟测试卷五套（人教版含答案25页）(1).pdf</t>
        </is>
      </c>
      <c r="B1086" s="2" t="str">
        <f>=HYPERLINK("https://pan.quark.cn/s/fe117b731478", "https://pan.quark.cn/s/fe117b731478")</f>
        <v>https://pan.quark.cn/s/fe117b731478</v>
      </c>
      <c r="C1086" t="inlineStr">
        <is>
          <t>9.3MB</t>
        </is>
      </c>
      <c r="D1086" t="inlineStr">
        <is>
          <t>/数学/期末押题/模拟测试卷/人教版/学龄儿童家长/K12</t>
        </is>
      </c>
      <c r="E1086" t="inlineStr">
        <is>
          <t>https://dcn8qexvg13r.feishu.cn/share/base/query/shrcnMqxwwRkV3NUIUxPeab3sec</t>
        </is>
      </c>
      <c r="F1086" t="inlineStr">
        <is>
          <t>请添加微信：k846211</t>
        </is>
      </c>
      <c r="G1086" t="inlineStr">
        <is>
          <t>2026-01-02</t>
        </is>
      </c>
    </row>
    <row r="1087" ht="25.5" customHeight="1">
      <c r="A1087" t="inlineStr">
        <is>
          <t>1222【25秋二上数学期末表内乘法常考易错应用题10类（含答案14页）(1).pdf</t>
        </is>
      </c>
      <c r="B1087" s="2" t="str">
        <f>=HYPERLINK("https://pan.quark.cn/s/f950d135a0ab", "https://pan.quark.cn/s/f950d135a0ab")</f>
        <v>https://pan.quark.cn/s/f950d135a0ab</v>
      </c>
      <c r="C1087" t="inlineStr">
        <is>
          <t>9.6MB</t>
        </is>
      </c>
      <c r="D1087" t="inlineStr">
        <is>
          <t>/表内乘法/应用题/易错题型/小学数学/K12/学龄儿童家长</t>
        </is>
      </c>
      <c r="E1087" t="inlineStr">
        <is>
          <t>https://dcn8qexvg13r.feishu.cn/share/base/query/shrcnMqxwwRkV3NUIUxPeab3sec</t>
        </is>
      </c>
      <c r="F1087" t="inlineStr">
        <is>
          <t>请添加微信：k846211</t>
        </is>
      </c>
      <c r="G1087" t="inlineStr">
        <is>
          <t>2026-01-02</t>
        </is>
      </c>
    </row>
    <row r="1088" ht="25.5" customHeight="1">
      <c r="A1088" t="inlineStr">
        <is>
          <t>1217【25秋三上数学期末常考应用题拔尖特训100道（精选历年真题重点易错）含答案27页(1)(1).pdf</t>
        </is>
      </c>
      <c r="B1088" s="2" t="str">
        <f>=HYPERLINK("https://pan.quark.cn/s/9de70eba645c", "https://pan.quark.cn/s/9de70eba645c")</f>
        <v>https://pan.quark.cn/s/9de70eba645c</v>
      </c>
      <c r="C1088" t="inlineStr">
        <is>
          <t>10.8MB</t>
        </is>
      </c>
      <c r="D1088" t="inlineStr">
        <is>
          <t>/25秋三上数学/期末应用题/拔尖特训/历年真题/易错重点/K12/学龄儿童家长</t>
        </is>
      </c>
      <c r="E1088" t="inlineStr">
        <is>
          <t>https://dcn8qexvg13r.feishu.cn/share/base/query/shrcnMqxwwRkV3NUIUxPeab3sec</t>
        </is>
      </c>
      <c r="F1088" t="inlineStr">
        <is>
          <t>请添加微信：k846211</t>
        </is>
      </c>
      <c r="G1088" t="inlineStr">
        <is>
          <t>2026-01-02</t>
        </is>
      </c>
    </row>
    <row r="1089" ht="25.5" customHeight="1">
      <c r="A1089" t="inlineStr">
        <is>
          <t>1218四上数学期末高频常考九大类应用题汇总（含答案25页）.pdf</t>
        </is>
      </c>
      <c r="B1089" s="2" t="str">
        <f>=HYPERLINK("https://pan.quark.cn/s/52752fba7577", "https://pan.quark.cn/s/52752fba7577")</f>
        <v>https://pan.quark.cn/s/52752fba7577</v>
      </c>
      <c r="C1089" t="inlineStr">
        <is>
          <t>15.4MB</t>
        </is>
      </c>
      <c r="D1089" t="inlineStr">
        <is>
          <t>/四上数学/应用题/高频常考/K12/学龄儿童家长</t>
        </is>
      </c>
      <c r="E1089" t="inlineStr">
        <is>
          <t>https://dcn8qexvg13r.feishu.cn/share/base/query/shrcnMqxwwRkV3NUIUxPeab3sec</t>
        </is>
      </c>
      <c r="F1089" t="inlineStr">
        <is>
          <t>请添加微信：k846211</t>
        </is>
      </c>
      <c r="G1089" t="inlineStr">
        <is>
          <t>2026-01-02</t>
        </is>
      </c>
    </row>
    <row r="1090" ht="25.5" customHeight="1">
      <c r="A1090" t="inlineStr">
        <is>
          <t>1223 25秋五年级上册数学《历年期末常考题型35题》（附答案）.pdf</t>
        </is>
      </c>
      <c r="B1090" s="2" t="str">
        <f>=HYPERLINK("https://pan.quark.cn/s/6ed3b9b0be5e", "https://pan.quark.cn/s/6ed3b9b0be5e")</f>
        <v>https://pan.quark.cn/s/6ed3b9b0be5e</v>
      </c>
      <c r="C1090" t="inlineStr">
        <is>
          <t>5.5MB</t>
        </is>
      </c>
      <c r="D1090" t="inlineStr">
        <is>
          <t>/五年级数学/期末常考题型/历年真题/附答案/K12/学龄儿童家长</t>
        </is>
      </c>
      <c r="E1090" t="inlineStr">
        <is>
          <t>https://dcn8qexvg13r.feishu.cn/share/base/query/shrcnMqxwwRkV3NUIUxPeab3sec</t>
        </is>
      </c>
      <c r="F1090" t="inlineStr">
        <is>
          <t>请添加微信：k846211</t>
        </is>
      </c>
      <c r="G1090" t="inlineStr">
        <is>
          <t>2026-01-02</t>
        </is>
      </c>
    </row>
    <row r="1091" ht="25.5" customHeight="1">
      <c r="A1091" t="inlineStr">
        <is>
          <t>1219 六年级上册数学人教版《期末质量检测卷》.pdf</t>
        </is>
      </c>
      <c r="B1091" s="2" t="str">
        <f>=HYPERLINK("https://pan.quark.cn/s/2b3540827ae0", "https://pan.quark.cn/s/2b3540827ae0")</f>
        <v>https://pan.quark.cn/s/2b3540827ae0</v>
      </c>
      <c r="C1091" t="inlineStr">
        <is>
          <t>4.5MB</t>
        </is>
      </c>
      <c r="D1091" t="inlineStr">
        <is>
          <t>/六年级数学/期末检测/人教版/质量检测卷/K12/学龄儿童家长</t>
        </is>
      </c>
      <c r="E1091" t="inlineStr">
        <is>
          <t>https://dcn8qexvg13r.feishu.cn/share/base/query/shrcnMqxwwRkV3NUIUxPeab3sec</t>
        </is>
      </c>
      <c r="F1091" t="inlineStr">
        <is>
          <t>请添加微信：k846211</t>
        </is>
      </c>
      <c r="G1091" t="inlineStr">
        <is>
          <t>2026-01-02</t>
        </is>
      </c>
    </row>
    <row r="1092" ht="25.5" customHeight="1">
      <c r="A1092" t="inlineStr">
        <is>
          <t>1-6年级语文期末复习</t>
        </is>
      </c>
      <c r="B1092" s="2" t="str">
        <f>=HYPERLINK("https://pan.quark.cn/s/7e9a886b0832", "https://pan.quark.cn/s/7e9a886b0832")</f>
        <v>https://pan.quark.cn/s/7e9a886b0832</v>
      </c>
      <c r="C1092" t="inlineStr">
        <is>
          <t>34.2MB</t>
        </is>
      </c>
      <c r="D1092" t="inlineStr">
        <is>
          <t>/语文/期末复习/1-6年级/小学/K12/学龄儿童家长</t>
        </is>
      </c>
      <c r="E1092" t="inlineStr">
        <is>
          <t>https://dcn8qexvg13r.feishu.cn/share/base/query/shrcnMqxwwRkV3NUIUxPeab3sec</t>
        </is>
      </c>
      <c r="F1092" t="inlineStr">
        <is>
          <t>请添加微信：k846211</t>
        </is>
      </c>
      <c r="G1092" t="inlineStr">
        <is>
          <t>2026-01-02</t>
        </is>
      </c>
    </row>
    <row r="1093" ht="25.5" customHeight="1">
      <c r="A1093" t="inlineStr">
        <is>
          <t>1-5年级数学上册期末复习冲刺计划每日一练</t>
        </is>
      </c>
      <c r="B1093" s="2" t="str">
        <f>=HYPERLINK("https://pan.quark.cn/s/de25c9cc48fb", "https://pan.quark.cn/s/de25c9cc48fb")</f>
        <v>https://pan.quark.cn/s/de25c9cc48fb</v>
      </c>
      <c r="C1093" t="inlineStr">
        <is>
          <t>50.6MB</t>
        </is>
      </c>
      <c r="D1093" t="inlineStr">
        <is>
          <t>/小学数学/期末复习/每日一练/复习冲刺/K12/学龄儿童家长</t>
        </is>
      </c>
      <c r="E1093" t="inlineStr">
        <is>
          <t>https://dcn8qexvg13r.feishu.cn/share/base/query/shrcnMqxwwRkV3NUIUxPeab3sec</t>
        </is>
      </c>
      <c r="F1093" t="inlineStr">
        <is>
          <t>请添加微信：k846211</t>
        </is>
      </c>
      <c r="G1093" t="inlineStr">
        <is>
          <t>2026-01-02</t>
        </is>
      </c>
    </row>
    <row r="1094" ht="25.5" customHeight="1">
      <c r="A1094" t="inlineStr">
        <is>
          <t>25年语文上册期末回归课本原题核心母题人教</t>
        </is>
      </c>
      <c r="B1094" s="2" t="str">
        <f>=HYPERLINK("https://pan.quark.cn/s/41b5f2c5083d", "https://pan.quark.cn/s/41b5f2c5083d")</f>
        <v>https://pan.quark.cn/s/41b5f2c5083d</v>
      </c>
      <c r="C1094" t="inlineStr">
        <is>
          <t>60.1MB</t>
        </is>
      </c>
      <c r="D1094" t="inlineStr">
        <is>
          <t>/语文/期末/回归课本/核心母题/K12/学龄儿童家长</t>
        </is>
      </c>
      <c r="E1094" t="inlineStr">
        <is>
          <t>https://dcn8qexvg13r.feishu.cn/share/base/query/shrcnMqxwwRkV3NUIUxPeab3sec</t>
        </is>
      </c>
      <c r="F1094" t="inlineStr">
        <is>
          <t>请添加微信：k846211</t>
        </is>
      </c>
      <c r="G1094" t="inlineStr">
        <is>
          <t>2026-01-02</t>
        </is>
      </c>
    </row>
    <row r="1095" ht="25.5" customHeight="1">
      <c r="A1095" t="inlineStr">
        <is>
          <t>25年秋新版1-6年级上册期末押题作文</t>
        </is>
      </c>
      <c r="B1095" s="2" t="str">
        <f>=HYPERLINK("https://pan.quark.cn/s/40c1a0830fcd", "https://pan.quark.cn/s/40c1a0830fcd")</f>
        <v>https://pan.quark.cn/s/40c1a0830fcd</v>
      </c>
      <c r="C1095" t="inlineStr">
        <is>
          <t>53.0MB</t>
        </is>
      </c>
      <c r="D1095" t="inlineStr">
        <is>
          <t>/期末押题作文/小学1-6年级/上册/押题/K12/学龄儿童家长</t>
        </is>
      </c>
      <c r="E1095" t="inlineStr">
        <is>
          <t>https://dcn8qexvg13r.feishu.cn/share/base/query/shrcnMqxwwRkV3NUIUxPeab3sec</t>
        </is>
      </c>
      <c r="F1095" t="inlineStr">
        <is>
          <t>请添加微信：k846211</t>
        </is>
      </c>
      <c r="G1095" t="inlineStr">
        <is>
          <t>2026-01-02</t>
        </is>
      </c>
    </row>
    <row r="1096" ht="25.5" customHeight="1">
      <c r="A1096" t="inlineStr">
        <is>
          <t>二上、三上语文期末（课内阅读）押题汇总</t>
        </is>
      </c>
      <c r="B1096" s="2" t="str">
        <f>=HYPERLINK("https://pan.quark.cn/s/d3ed37dc92fa", "https://pan.quark.cn/s/d3ed37dc92fa")</f>
        <v>https://pan.quark.cn/s/d3ed37dc92fa</v>
      </c>
      <c r="C1096" t="inlineStr">
        <is>
          <t>7.3MB</t>
        </is>
      </c>
      <c r="D1096" t="inlineStr">
        <is>
          <t>/小学语文/课内阅读/期末押题/二上/三上/学龄儿童家长/K12</t>
        </is>
      </c>
      <c r="E1096" t="inlineStr">
        <is>
          <t>https://dcn8qexvg13r.feishu.cn/share/base/query/shrcnMqxwwRkV3NUIUxPeab3sec</t>
        </is>
      </c>
      <c r="F1096" t="inlineStr">
        <is>
          <t>请添加微信：k846211</t>
        </is>
      </c>
      <c r="G1096" t="inlineStr">
        <is>
          <t>2026-01-04</t>
        </is>
      </c>
    </row>
    <row r="1097" ht="25.5" customHeight="1">
      <c r="A1097" t="inlineStr">
        <is>
          <t>一年级（上）语文期末押题高频考点汇总.pdf</t>
        </is>
      </c>
      <c r="B1097" s="2" t="str">
        <f>=HYPERLINK("https://pan.quark.cn/s/b9b2b1c4fb49", "https://pan.quark.cn/s/b9b2b1c4fb49")</f>
        <v>https://pan.quark.cn/s/b9b2b1c4fb49</v>
      </c>
      <c r="C1097" t="inlineStr">
        <is>
          <t>39.2MB</t>
        </is>
      </c>
      <c r="D1097" t="inlineStr">
        <is>
          <t>一年级语文/期末押题/高频考点/PDF/学龄儿童家长/K12</t>
        </is>
      </c>
      <c r="E1097" t="inlineStr">
        <is>
          <t>https://dcn8qexvg13r.feishu.cn/share/base/query/shrcnMqxwwRkV3NUIUxPeab3sec</t>
        </is>
      </c>
      <c r="F1097" t="inlineStr">
        <is>
          <t>请添加微信：k846211</t>
        </is>
      </c>
      <c r="G1097" t="inlineStr">
        <is>
          <t>2026-01-05</t>
        </is>
      </c>
    </row>
    <row r="1098" ht="25.5" customHeight="1">
      <c r="A1098" t="inlineStr">
        <is>
          <t>1-6年级语文下册最新版课课贴</t>
        </is>
      </c>
      <c r="B1098" s="2" t="str">
        <f>=HYPERLINK("https://pan.quark.cn/s/f93fc0a060ef", "https://pan.quark.cn/s/f93fc0a060ef")</f>
        <v>https://pan.quark.cn/s/f93fc0a060ef</v>
      </c>
      <c r="C1098" t="inlineStr">
        <is>
          <t>21.8MB</t>
        </is>
      </c>
      <c r="D1098" t="inlineStr">
        <is>
          <t>/语文/课课贴/1-6年级/下册/学龄儿童家长/K12</t>
        </is>
      </c>
      <c r="E1098" t="inlineStr">
        <is>
          <t>https://dcn8qexvg13r.feishu.cn/share/base/query/shrcnMqxwwRkV3NUIUxPeab3sec</t>
        </is>
      </c>
      <c r="F1098" t="inlineStr">
        <is>
          <t>请添加微信：k846211</t>
        </is>
      </c>
      <c r="G1098" t="inlineStr">
        <is>
          <t>2026-01-05</t>
        </is>
      </c>
    </row>
    <row r="1099" ht="25.5" customHeight="1">
      <c r="A1099" t="inlineStr">
        <is>
          <t>25秋 王朝霞《活页计算》数学冀教版1-6年级上册</t>
        </is>
      </c>
      <c r="B1099" s="2" t="str">
        <f>=HYPERLINK("https://pan.quark.cn/s/7edae01e5b75", "https://pan.quark.cn/s/7edae01e5b75")</f>
        <v>https://pan.quark.cn/s/7edae01e5b75</v>
      </c>
      <c r="C1099" t="inlineStr">
        <is>
          <t>13.4GB</t>
        </is>
      </c>
      <c r="D1099" t="inlineStr">
        <is>
          <t>/数学/活页计算/冀教版/1-6年级上册/K12/学龄儿童家长</t>
        </is>
      </c>
      <c r="E1099" t="inlineStr">
        <is>
          <t>https://dcn8qexvg13r.feishu.cn/share/base/query/shrcnMqxwwRkV3NUIUxPeab3sec</t>
        </is>
      </c>
      <c r="F1099" t="inlineStr">
        <is>
          <t>请添加微信：k846211</t>
        </is>
      </c>
      <c r="G1099" t="inlineStr">
        <is>
          <t>2026-01-05</t>
        </is>
      </c>
    </row>
    <row r="1100" ht="25.5" customHeight="1">
      <c r="A1100" t="inlineStr">
        <is>
          <t>六年级上册语文期末押题优秀范文.pdf</t>
        </is>
      </c>
      <c r="B1100" s="2" t="str">
        <f>=HYPERLINK("https://pan.quark.cn/s/defe01ed3f00", "https://pan.quark.cn/s/defe01ed3f00")</f>
        <v>https://pan.quark.cn/s/defe01ed3f00</v>
      </c>
      <c r="C1100" t="inlineStr">
        <is>
          <t>54.5MB</t>
        </is>
      </c>
      <c r="D1100" t="inlineStr">
        <is>
          <t>/六年级上册语文/期末押题/优秀范文/语文学习/K12/学龄儿童家长</t>
        </is>
      </c>
      <c r="E1100" t="inlineStr">
        <is>
          <t>https://dcn8qexvg13r.feishu.cn/share/base/query/shrcnMqxwwRkV3NUIUxPeab3sec</t>
        </is>
      </c>
      <c r="F1100" t="inlineStr">
        <is>
          <t>请添加微信：k846211</t>
        </is>
      </c>
      <c r="G1100" t="inlineStr">
        <is>
          <t>2026-01-05</t>
        </is>
      </c>
    </row>
    <row r="1101" ht="25.5" customHeight="1">
      <c r="A1101" t="inlineStr">
        <is>
          <t>7.水浒传</t>
        </is>
      </c>
      <c r="B1101" s="2" t="str">
        <f>=HYPERLINK("https://pan.quark.cn/s/e2b5132e01a0", "https://pan.quark.cn/s/e2b5132e01a0")</f>
        <v>https://pan.quark.cn/s/e2b5132e01a0</v>
      </c>
      <c r="C1101" t="inlineStr">
        <is>
          <t>17.6GB</t>
        </is>
      </c>
      <c r="D1101" t="inlineStr">
        <is>
          <t>/古典文学/小说/英雄故事/水浒传/大学生/其他</t>
        </is>
      </c>
      <c r="E1101" t="inlineStr">
        <is>
          <t>https://dcn8qexvg13r.feishu.cn/share/base/query/shrcnMqxwwRkV3NUIUxPeab3sec</t>
        </is>
      </c>
      <c r="F1101" t="inlineStr">
        <is>
          <t>请添加微信：k846211</t>
        </is>
      </c>
      <c r="G1101" t="inlineStr">
        <is>
          <t>2026-01-06</t>
        </is>
      </c>
    </row>
    <row r="1102" ht="25.5" customHeight="1">
      <c r="A1102" t="inlineStr">
        <is>
          <t>阅读写作课合集</t>
        </is>
      </c>
      <c r="B1102" s="2" t="str">
        <f>=HYPERLINK("https://pan.quark.cn/s/749306270069", "https://pan.quark.cn/s/749306270069")</f>
        <v>https://pan.quark.cn/s/749306270069</v>
      </c>
      <c r="C1102" t="inlineStr">
        <is>
          <t>93.4GB</t>
        </is>
      </c>
      <c r="D1102" t="inlineStr">
        <is>
          <t>/阅读/写作/课程/K12/大学生</t>
        </is>
      </c>
      <c r="E1102" t="inlineStr">
        <is>
          <t>https://dcn8qexvg13r.feishu.cn/share/base/query/shrcnMqxwwRkV3NUIUxPeab3sec</t>
        </is>
      </c>
      <c r="F1102" t="inlineStr">
        <is>
          <t>请添加微信：k846211</t>
        </is>
      </c>
      <c r="G1102" t="inlineStr">
        <is>
          <t>2026-01-06</t>
        </is>
      </c>
    </row>
    <row r="1103" ht="25.5" customHeight="1">
      <c r="A1103" t="inlineStr">
        <is>
          <t>语文</t>
        </is>
      </c>
      <c r="B1103" s="2" t="str">
        <f>=HYPERLINK("https://pan.quark.cn/s/bec2bcaee61b", "https://pan.quark.cn/s/bec2bcaee61b")</f>
        <v>https://pan.quark.cn/s/bec2bcaee61b</v>
      </c>
      <c r="C1103" t="inlineStr">
        <is>
          <t>55.0GB</t>
        </is>
      </c>
      <c r="D1103" t="inlineStr">
        <is>
          <t>/语文/学科学习/语言能力培养/知识教育/K12/大学生</t>
        </is>
      </c>
      <c r="E1103" t="inlineStr">
        <is>
          <t>https://dcn8qexvg13r.feishu.cn/share/base/query/shrcnMqxwwRkV3NUIUxPeab3sec</t>
        </is>
      </c>
      <c r="F1103" t="inlineStr">
        <is>
          <t>请添加微信：k846211</t>
        </is>
      </c>
      <c r="G1103" t="inlineStr">
        <is>
          <t>2026-01-10</t>
        </is>
      </c>
    </row>
    <row r="1104" ht="25.5" customHeight="1">
      <c r="A1104" t="inlineStr">
        <is>
          <t>🌲初二《八上数学》知识点总结（新版）</t>
        </is>
      </c>
      <c r="B1104" s="2" t="str">
        <f>=HYPERLINK("https://pan.quark.cn/s/2e1a59de3fee", "https://pan.quark.cn/s/2e1a59de3fee")</f>
        <v>https://pan.quark.cn/s/2e1a59de3fee</v>
      </c>
      <c r="C1104" t="inlineStr">
        <is>
          <t>948.4MB</t>
        </is>
      </c>
      <c r="D1104" t="inlineStr">
        <is>
          <t>/初二数学/八上数学/知识点总结/K12/学龄儿童家长</t>
        </is>
      </c>
      <c r="E1104" t="inlineStr">
        <is>
          <t>https://dcn8qexvg13r.feishu.cn/share/base/query/shrcnMqxwwRkV3NUIUxPeab3sec</t>
        </is>
      </c>
      <c r="F1104" t="inlineStr">
        <is>
          <t>请添加微信：k846211</t>
        </is>
      </c>
      <c r="G1104" t="inlineStr">
        <is>
          <t>2026-01-10</t>
        </is>
      </c>
    </row>
    <row r="1105" ht="25.5" customHeight="1">
      <c r="A1105" t="inlineStr">
        <is>
          <t>小托福备考全套资料</t>
        </is>
      </c>
      <c r="B1105" s="2" t="str">
        <f>=HYPERLINK("https://pan.quark.cn/s/4bab135b89a7", "https://pan.quark.cn/s/4bab135b89a7")</f>
        <v>https://pan.quark.cn/s/4bab135b89a7</v>
      </c>
      <c r="C1105" t="inlineStr">
        <is>
          <t>6.4GB</t>
        </is>
      </c>
      <c r="D1105" t="inlineStr">
        <is>
          <t>小托福/备考/语言学习/考试准备/K12/语言</t>
        </is>
      </c>
      <c r="E1105" t="inlineStr">
        <is>
          <t>https://dcn8qexvg13r.feishu.cn/share/base/query/shrcnMqxwwRkV3NUIUxPeab3sec</t>
        </is>
      </c>
      <c r="F1105" t="inlineStr">
        <is>
          <t>请添加微信：k846211</t>
        </is>
      </c>
      <c r="G1105" t="inlineStr">
        <is>
          <t>2026-01-10</t>
        </is>
      </c>
    </row>
    <row r="1106" ht="25.5" customHeight="1">
      <c r="A1106" t="inlineStr">
        <is>
          <t>25秋一年级上册语文期末复习专项合集</t>
        </is>
      </c>
      <c r="B1106" s="2" t="str">
        <f>=HYPERLINK("https://pan.quark.cn/s/500cf617d31c", "https://pan.quark.cn/s/500cf617d31c")</f>
        <v>https://pan.quark.cn/s/500cf617d31c</v>
      </c>
      <c r="C1106" t="inlineStr">
        <is>
          <t>718.5MB</t>
        </is>
      </c>
      <c r="D1106" t="inlineStr">
        <is>
          <t>/一年级语文/期末复习/专项练习/K12/学龄儿童家长</t>
        </is>
      </c>
      <c r="E1106" t="inlineStr">
        <is>
          <t>https://dcn8qexvg13r.feishu.cn/share/base/query/shrcnMqxwwRkV3NUIUxPeab3sec</t>
        </is>
      </c>
      <c r="F1106" t="inlineStr">
        <is>
          <t>请添加微信：k846211</t>
        </is>
      </c>
      <c r="G1106" t="inlineStr">
        <is>
          <t>2026-01-10</t>
        </is>
      </c>
    </row>
    <row r="1107" ht="25.5" customHeight="1">
      <c r="A1107" t="inlineStr">
        <is>
          <t>25秋一年级上册数学期末复习专项合集</t>
        </is>
      </c>
      <c r="B1107" s="2" t="str">
        <f>=HYPERLINK("https://pan.quark.cn/s/969d6f86acfe", "https://pan.quark.cn/s/969d6f86acfe")</f>
        <v>https://pan.quark.cn/s/969d6f86acfe</v>
      </c>
      <c r="C1107" t="inlineStr">
        <is>
          <t>184.0MB</t>
        </is>
      </c>
      <c r="D1107" t="inlineStr">
        <is>
          <t>/一年级数学/期末复习/专项练习/K12/学龄儿童家长</t>
        </is>
      </c>
      <c r="E1107" t="inlineStr">
        <is>
          <t>https://dcn8qexvg13r.feishu.cn/share/base/query/shrcnMqxwwRkV3NUIUxPeab3sec</t>
        </is>
      </c>
      <c r="F1107" t="inlineStr">
        <is>
          <t>请添加微信：k846211</t>
        </is>
      </c>
      <c r="G1107" t="inlineStr">
        <is>
          <t>2026-01-10</t>
        </is>
      </c>
    </row>
    <row r="1108" ht="25.5" customHeight="1">
      <c r="A1108" t="inlineStr">
        <is>
          <t>四年级下册语文寒假课文背诵大闯关(1).pdf</t>
        </is>
      </c>
      <c r="B1108" s="2" t="str">
        <f>=HYPERLINK("https://pan.quark.cn/s/5e03bab9b411", "https://pan.quark.cn/s/5e03bab9b411")</f>
        <v>https://pan.quark.cn/s/5e03bab9b411</v>
      </c>
      <c r="C1108" t="inlineStr">
        <is>
          <t>83.2MB</t>
        </is>
      </c>
      <c r="D1108" t="inlineStr">
        <is>
          <t>/四年级下册语文/课文背诵/寒假/闯关练习/K12/学龄儿童家长</t>
        </is>
      </c>
      <c r="E1108" t="inlineStr">
        <is>
          <t>https://dcn8qexvg13r.feishu.cn/share/base/query/shrcnMqxwwRkV3NUIUxPeab3sec</t>
        </is>
      </c>
      <c r="F1108" t="inlineStr">
        <is>
          <t>请添加微信：k846211</t>
        </is>
      </c>
      <c r="G1108" t="inlineStr">
        <is>
          <t>2026-01-10</t>
        </is>
      </c>
    </row>
    <row r="1109" ht="25.5" customHeight="1">
      <c r="A1109" t="inlineStr">
        <is>
          <t>安卓游戏合集持续更新</t>
        </is>
      </c>
      <c r="B1109" s="2" t="str">
        <f>=HYPERLINK("https://pan.quark.cn/s/03c6d26e802f", "https://pan.quark.cn/s/03c6d26e802f")</f>
        <v>https://pan.quark.cn/s/03c6d26e802f</v>
      </c>
      <c r="C1109" t="inlineStr">
        <is>
          <t>58.9GB</t>
        </is>
      </c>
      <c r="D1109" t="inlineStr">
        <is>
          <t>/安卓/游戏/持续更新/游戏</t>
        </is>
      </c>
      <c r="E1109" t="inlineStr">
        <is>
          <t>https://dcn8qexvg13r.feishu.cn/share/base/query/shrcnMqxwwRkV3NUIUxPeab3sec</t>
        </is>
      </c>
      <c r="F1109" t="inlineStr">
        <is>
          <t>请添加微信：k846211</t>
        </is>
      </c>
      <c r="G1109" t="inlineStr">
        <is>
          <t>2026-01-10</t>
        </is>
      </c>
    </row>
    <row r="1110" ht="25.5" customHeight="1">
      <c r="A1110" t="inlineStr">
        <is>
          <t>捕鱼类游戏</t>
        </is>
      </c>
      <c r="B1110" s="2" t="str">
        <f>=HYPERLINK("https://pan.quark.cn/s/24eda269a292", "https://pan.quark.cn/s/24eda269a292")</f>
        <v>https://pan.quark.cn/s/24eda269a292</v>
      </c>
      <c r="C1110" t="inlineStr">
        <is>
          <t>58.7MB</t>
        </is>
      </c>
      <c r="D1110" t="inlineStr">
        <is>
          <t>/捕鱼/游戏/娱乐/休闲/游戏</t>
        </is>
      </c>
      <c r="E1110" t="inlineStr">
        <is>
          <t>https://dcn8qexvg13r.feishu.cn/share/base/query/shrcnMqxwwRkV3NUIUxPeab3sec</t>
        </is>
      </c>
      <c r="F1110" t="inlineStr">
        <is>
          <t>请添加微信：k846211</t>
        </is>
      </c>
      <c r="G1110" t="inlineStr">
        <is>
          <t>2026-01-10</t>
        </is>
      </c>
    </row>
    <row r="1111" ht="25.5" customHeight="1">
      <c r="A1111" t="inlineStr">
        <is>
          <t>动作仙侠修仙</t>
        </is>
      </c>
      <c r="B1111" s="2" t="str">
        <f>=HYPERLINK("https://pan.quark.cn/s/3f0c79653863", "https://pan.quark.cn/s/3f0c79653863")</f>
        <v>https://pan.quark.cn/s/3f0c79653863</v>
      </c>
      <c r="C1111" t="inlineStr">
        <is>
          <t>2.3GB</t>
        </is>
      </c>
      <c r="D1111" t="inlineStr">
        <is>
          <t>/动作/仙侠/修仙/游戏/动漫</t>
        </is>
      </c>
      <c r="E1111" t="inlineStr">
        <is>
          <t>https://dcn8qexvg13r.feishu.cn/share/base/query/shrcnMqxwwRkV3NUIUxPeab3sec</t>
        </is>
      </c>
      <c r="F1111" t="inlineStr">
        <is>
          <t>请添加微信：k846211</t>
        </is>
      </c>
      <c r="G1111" t="inlineStr">
        <is>
          <t>2026-01-10</t>
        </is>
      </c>
    </row>
    <row r="1112" ht="25.5" customHeight="1">
      <c r="A1112" t="inlineStr">
        <is>
          <t>钢铁战队</t>
        </is>
      </c>
      <c r="B1112" s="2" t="str">
        <f>=HYPERLINK("https://pan.quark.cn/s/140d46abc786", "https://pan.quark.cn/s/140d46abc786")</f>
        <v>https://pan.quark.cn/s/140d46abc786</v>
      </c>
      <c r="C1112" t="inlineStr">
        <is>
          <t>413.6MB</t>
        </is>
      </c>
      <c r="D1112" t="inlineStr">
        <is>
          <t>/钢铁战队/游戏/策略/塔防/游戏</t>
        </is>
      </c>
      <c r="E1112" t="inlineStr">
        <is>
          <t>https://dcn8qexvg13r.feishu.cn/share/base/query/shrcnMqxwwRkV3NUIUxPeab3sec</t>
        </is>
      </c>
      <c r="F1112" t="inlineStr">
        <is>
          <t>请添加微信：k846211</t>
        </is>
      </c>
      <c r="G1112" t="inlineStr">
        <is>
          <t>2026-01-10</t>
        </is>
      </c>
    </row>
    <row r="1113" ht="25.5" customHeight="1">
      <c r="A1113" t="inlineStr">
        <is>
          <t>一年级（下）语文 必背课文闯关表.pdf</t>
        </is>
      </c>
      <c r="B1113" s="2" t="str">
        <f>=HYPERLINK("https://pan.quark.cn/s/dcd16ed0cc25", "https://pan.quark.cn/s/dcd16ed0cc25")</f>
        <v>https://pan.quark.cn/s/dcd16ed0cc25</v>
      </c>
      <c r="C1113" t="inlineStr">
        <is>
          <t>14.0MB</t>
        </is>
      </c>
      <c r="D1113" t="inlineStr">
        <is>
          <t>/一年级语文/必背课文/闯关表/语文学习/K12/学龄儿童家长</t>
        </is>
      </c>
      <c r="E1113" t="inlineStr">
        <is>
          <t>https://dcn8qexvg13r.feishu.cn/share/base/query/shrcnMqxwwRkV3NUIUxPeab3sec</t>
        </is>
      </c>
      <c r="F1113" t="inlineStr">
        <is>
          <t>请添加微信：k846211</t>
        </is>
      </c>
      <c r="G1113" t="inlineStr">
        <is>
          <t>2026-01-13</t>
        </is>
      </c>
    </row>
    <row r="1114" ht="25.5" customHeight="1">
      <c r="A1114" t="inlineStr">
        <is>
          <t>2024胡小群数学思维课程</t>
        </is>
      </c>
      <c r="B1114" s="2" t="str">
        <f>=HYPERLINK("https://pan.quark.cn/s/456c1d431f32", "https://pan.quark.cn/s/456c1d431f32")</f>
        <v>https://pan.quark.cn/s/456c1d431f32</v>
      </c>
      <c r="C1114" t="inlineStr">
        <is>
          <t>87.5GB</t>
        </is>
      </c>
      <c r="D1114" t="inlineStr">
        <is>
          <t>/数学思维/课程/胡小群/K12/学龄儿童家长</t>
        </is>
      </c>
      <c r="E1114" t="inlineStr">
        <is>
          <t>https://dcn8qexvg13r.feishu.cn/share/base/query/shrcnMqxwwRkV3NUIUxPeab3sec</t>
        </is>
      </c>
      <c r="F1114" t="inlineStr">
        <is>
          <t>请添加微信：k846211</t>
        </is>
      </c>
      <c r="G1114" t="inlineStr">
        <is>
          <t>2026-01-13</t>
        </is>
      </c>
    </row>
    <row r="1115" ht="25.5" customHeight="1">
      <c r="A1115" t="inlineStr">
        <is>
          <t>猫博士分阶写作课L1～6</t>
        </is>
      </c>
      <c r="B1115" s="2" t="str">
        <f>=HYPERLINK("https://pan.quark.cn/s/c5af697cad13", "https://pan.quark.cn/s/c5af697cad13")</f>
        <v>https://pan.quark.cn/s/c5af697cad13</v>
      </c>
      <c r="C1115" t="inlineStr">
        <is>
          <t>2.4GB</t>
        </is>
      </c>
      <c r="D1115" t="inlineStr">
        <is>
          <t>/写作课/分阶学习/猫博士/写作能力提升/学龄儿童家长/K12</t>
        </is>
      </c>
      <c r="E1115" t="inlineStr">
        <is>
          <t>https://dcn8qexvg13r.feishu.cn/share/base/query/shrcnMqxwwRkV3NUIUxPeab3sec</t>
        </is>
      </c>
      <c r="F1115" t="inlineStr">
        <is>
          <t>请添加微信：k846211</t>
        </is>
      </c>
      <c r="G1115" t="inlineStr">
        <is>
          <t>2026-01-13</t>
        </is>
      </c>
    </row>
    <row r="1116" ht="25.5" customHeight="1">
      <c r="A1116" t="inlineStr">
        <is>
          <t>《2026马年特色寒假作业》1-6年级（综合）</t>
        </is>
      </c>
      <c r="B1116" s="2" t="str">
        <f>=HYPERLINK("https://pan.quark.cn/s/5215fd51bc6c", "https://pan.quark.cn/s/5215fd51bc6c")</f>
        <v>https://pan.quark.cn/s/5215fd51bc6c</v>
      </c>
      <c r="C1116" t="inlineStr">
        <is>
          <t>24.5MB</t>
        </is>
      </c>
      <c r="D1116" t="inlineStr">
        <is>
          <t>/寒假作业/1-6年级/综合/马年特色/K12/学龄儿童家长</t>
        </is>
      </c>
      <c r="E1116" t="inlineStr">
        <is>
          <t>https://dcn8qexvg13r.feishu.cn/share/base/query/shrcnMqxwwRkV3NUIUxPeab3sec</t>
        </is>
      </c>
      <c r="F1116" t="inlineStr">
        <is>
          <t>请添加微信：k846211</t>
        </is>
      </c>
      <c r="G1116" t="inlineStr">
        <is>
          <t>2026-01-13</t>
        </is>
      </c>
    </row>
    <row r="1117" ht="25.5" customHeight="1">
      <c r="A1117" t="inlineStr">
        <is>
          <t>《寒假作业》1-6年级（语数英）</t>
        </is>
      </c>
      <c r="B1117" s="2" t="str">
        <f>=HYPERLINK("https://pan.quark.cn/s/6422abc565b5", "https://pan.quark.cn/s/6422abc565b5")</f>
        <v>https://pan.quark.cn/s/6422abc565b5</v>
      </c>
      <c r="C1117" t="inlineStr">
        <is>
          <t>450.0MB</t>
        </is>
      </c>
      <c r="D1117" t="inlineStr">
        <is>
          <t>/寒假作业/语数英/1-6年级/练习资料/K12/学龄儿童家长</t>
        </is>
      </c>
      <c r="E1117" t="inlineStr">
        <is>
          <t>https://dcn8qexvg13r.feishu.cn/share/base/query/shrcnMqxwwRkV3NUIUxPeab3sec</t>
        </is>
      </c>
      <c r="F1117" t="inlineStr">
        <is>
          <t>请添加微信：k846211</t>
        </is>
      </c>
      <c r="G1117" t="inlineStr">
        <is>
          <t>2026-01-13</t>
        </is>
      </c>
    </row>
    <row r="1118" ht="25.5" customHeight="1">
      <c r="A1118" t="inlineStr">
        <is>
          <t>《假期打卡》1-6年级（语文）</t>
        </is>
      </c>
      <c r="B1118" s="2" t="str">
        <f>=HYPERLINK("https://pan.quark.cn/s/e06face0e391", "https://pan.quark.cn/s/e06face0e391")</f>
        <v>https://pan.quark.cn/s/e06face0e391</v>
      </c>
      <c r="C1118" t="inlineStr">
        <is>
          <t>76.8MB</t>
        </is>
      </c>
      <c r="D1118" t="inlineStr">
        <is>
          <t>/假期/语文/打卡练习/K12/学龄儿童家长</t>
        </is>
      </c>
      <c r="E1118" t="inlineStr">
        <is>
          <t>https://dcn8qexvg13r.feishu.cn/share/base/query/shrcnMqxwwRkV3NUIUxPeab3sec</t>
        </is>
      </c>
      <c r="F1118" t="inlineStr">
        <is>
          <t>请添加微信：k846211</t>
        </is>
      </c>
      <c r="G1118" t="inlineStr">
        <is>
          <t>2026-01-13</t>
        </is>
      </c>
    </row>
    <row r="1119" ht="25.5" customHeight="1">
      <c r="A1119" t="inlineStr">
        <is>
          <t>《实验班寒假衔接》1-6年级（语数英）</t>
        </is>
      </c>
      <c r="B1119" s="2" t="str">
        <f>=HYPERLINK("https://pan.quark.cn/s/5fd2e178638a", "https://pan.quark.cn/s/5fd2e178638a")</f>
        <v>https://pan.quark.cn/s/5fd2e178638a</v>
      </c>
      <c r="C1119" t="inlineStr">
        <is>
          <t>1.6GB</t>
        </is>
      </c>
      <c r="D1119" t="inlineStr">
        <is>
          <t>/寒假衔接/语数英/1-6年级/教辅/K12/学龄儿童家长</t>
        </is>
      </c>
      <c r="E1119" t="inlineStr">
        <is>
          <t>https://dcn8qexvg13r.feishu.cn/share/base/query/shrcnMqxwwRkV3NUIUxPeab3sec</t>
        </is>
      </c>
      <c r="F1119" t="inlineStr">
        <is>
          <t>请添加微信：k846211</t>
        </is>
      </c>
      <c r="G1119" t="inlineStr">
        <is>
          <t>2026-01-13</t>
        </is>
      </c>
    </row>
    <row r="1120" ht="25.5" customHeight="1">
      <c r="A1120" t="inlineStr">
        <is>
          <t>一年级（下）语文 必背课文闯关表.pdf</t>
        </is>
      </c>
      <c r="B1120" s="2" t="str">
        <f>=HYPERLINK("https://pan.quark.cn/s/11a94a52eec5", "https://pan.quark.cn/s/11a94a52eec5")</f>
        <v>https://pan.quark.cn/s/11a94a52eec5</v>
      </c>
      <c r="C1120" t="inlineStr">
        <is>
          <t>14.0MB</t>
        </is>
      </c>
      <c r="D1120" t="inlineStr">
        <is>
          <t>/一年级语文/必背课文/闯关表/学龄儿童家长/K12</t>
        </is>
      </c>
      <c r="E1120" t="inlineStr">
        <is>
          <t>https://dcn8qexvg13r.feishu.cn/share/base/query/shrcnMqxwwRkV3NUIUxPeab3sec</t>
        </is>
      </c>
      <c r="F1120" t="inlineStr">
        <is>
          <t>请添加微信：k846211</t>
        </is>
      </c>
      <c r="G1120" t="inlineStr">
        <is>
          <t>2026-01-13</t>
        </is>
      </c>
    </row>
    <row r="1121" ht="25.5" customHeight="1">
      <c r="A1121" t="inlineStr">
        <is>
          <t>风光摄影</t>
        </is>
      </c>
      <c r="B1121" s="2" t="str">
        <f>=HYPERLINK("https://pan.quark.cn/s/4c1eee22eb60", "https://pan.quark.cn/s/4c1eee22eb60")</f>
        <v>https://pan.quark.cn/s/4c1eee22eb60</v>
      </c>
      <c r="C1121" t="inlineStr">
        <is>
          <t>3.2GB</t>
        </is>
      </c>
      <c r="D1121" t="inlineStr">
        <is>
          <t>/风光/摄影/自然景观/艺术创作/特定行业从业者/设计素材</t>
        </is>
      </c>
      <c r="E1121" t="inlineStr">
        <is>
          <t>https://dcn8qexvg13r.feishu.cn/share/base/query/shrcnMqxwwRkV3NUIUxPeab3sec</t>
        </is>
      </c>
      <c r="F1121" t="inlineStr">
        <is>
          <t>请添加微信：k846211</t>
        </is>
      </c>
      <c r="G1121" t="inlineStr">
        <is>
          <t>2026-01-16</t>
        </is>
      </c>
    </row>
    <row r="1122" ht="25.5" customHeight="1">
      <c r="A1122" t="inlineStr">
        <is>
          <t>亲子手机摄影教程</t>
        </is>
      </c>
      <c r="B1122" s="2" t="str">
        <f>=HYPERLINK("https://pan.quark.cn/s/9fe8f8f4e2a1", "https://pan.quark.cn/s/9fe8f8f4e2a1")</f>
        <v>https://pan.quark.cn/s/9fe8f8f4e2a1</v>
      </c>
      <c r="C1122" t="inlineStr">
        <is>
          <t>19.8GB</t>
        </is>
      </c>
      <c r="D1122" t="inlineStr">
        <is>
          <t>/亲子/手机摄影/教程/宝妈/家长群体/育儿</t>
        </is>
      </c>
      <c r="E1122" t="inlineStr">
        <is>
          <t>https://dcn8qexvg13r.feishu.cn/share/base/query/shrcnMqxwwRkV3NUIUxPeab3sec</t>
        </is>
      </c>
      <c r="F1122" t="inlineStr">
        <is>
          <t>请添加微信：k846211</t>
        </is>
      </c>
      <c r="G1122" t="inlineStr">
        <is>
          <t>2026-01-16</t>
        </is>
      </c>
    </row>
    <row r="1123" ht="25.5" customHeight="1">
      <c r="A1123" t="inlineStr">
        <is>
          <t>【推荐】摄影剪辑自媒体类精品书单</t>
        </is>
      </c>
      <c r="B1123" s="2" t="str">
        <f>=HYPERLINK("https://pan.quark.cn/s/ab23aed17fb2", "https://pan.quark.cn/s/ab23aed17fb2")</f>
        <v>https://pan.quark.cn/s/ab23aed17fb2</v>
      </c>
      <c r="C1123" t="inlineStr">
        <is>
          <t>25.9GB</t>
        </is>
      </c>
      <c r="D1123" t="inlineStr">
        <is>
          <t>/摄影/剪辑/自媒体/精品书单/特定行业从业者/技能入门</t>
        </is>
      </c>
      <c r="E1123" t="inlineStr">
        <is>
          <t>https://dcn8qexvg13r.feishu.cn/share/base/query/shrcnMqxwwRkV3NUIUxPeab3sec</t>
        </is>
      </c>
      <c r="F1123" t="inlineStr">
        <is>
          <t>请添加微信：k846211</t>
        </is>
      </c>
      <c r="G1123" t="inlineStr">
        <is>
          <t>2026-01-16</t>
        </is>
      </c>
    </row>
    <row r="1124" ht="25.5" customHeight="1">
      <c r="A1124" t="inlineStr">
        <is>
          <t>花间摄影学院《Luna Atlantis：高级复古人像摄影教程》</t>
        </is>
      </c>
      <c r="B1124" s="2" t="str">
        <f>=HYPERLINK("https://pan.quark.cn/s/7dc019e4b327", "https://pan.quark.cn/s/7dc019e4b327")</f>
        <v>https://pan.quark.cn/s/7dc019e4b327</v>
      </c>
      <c r="C1124" t="inlineStr">
        <is>
          <t>5.3GB</t>
        </is>
      </c>
      <c r="D1124" t="inlineStr">
        <is>
          <t>/复古人像摄影/摄影教程/高级摄影/花间摄影学院/特定行业从业者/技能入门</t>
        </is>
      </c>
      <c r="E1124" t="inlineStr">
        <is>
          <t>https://dcn8qexvg13r.feishu.cn/share/base/query/shrcnMqxwwRkV3NUIUxPeab3sec</t>
        </is>
      </c>
      <c r="F1124" t="inlineStr">
        <is>
          <t>请添加微信：k846211</t>
        </is>
      </c>
      <c r="G1124" t="inlineStr">
        <is>
          <t>2026-01-16</t>
        </is>
      </c>
    </row>
    <row r="1125" ht="25.5" customHeight="1">
      <c r="A1125" t="inlineStr">
        <is>
          <t>「摄影资源 书籍大全集」</t>
        </is>
      </c>
      <c r="B1125" s="2" t="str">
        <f>=HYPERLINK("https://pan.quark.cn/s/e090aef7b3f9", "https://pan.quark.cn/s/e090aef7b3f9")</f>
        <v>https://pan.quark.cn/s/e090aef7b3f9</v>
      </c>
      <c r="C1125" t="inlineStr">
        <is>
          <t>22.7GB</t>
        </is>
      </c>
      <c r="D1125" t="inlineStr">
        <is>
          <t>/摄影/书籍/摄影学习/技能入门/特定行业从业者/技能入门</t>
        </is>
      </c>
      <c r="E1125" t="inlineStr">
        <is>
          <t>https://dcn8qexvg13r.feishu.cn/share/base/query/shrcnMqxwwRkV3NUIUxPeab3sec</t>
        </is>
      </c>
      <c r="F1125" t="inlineStr">
        <is>
          <t>请添加微信：k846211</t>
        </is>
      </c>
      <c r="G1125" t="inlineStr">
        <is>
          <t>2026-01-16</t>
        </is>
      </c>
    </row>
    <row r="1126" ht="25.5" customHeight="1">
      <c r="A1126" t="inlineStr">
        <is>
          <t>AI复活照片教程</t>
        </is>
      </c>
      <c r="B1126" s="2" t="str">
        <f>=HYPERLINK("https://pan.quark.cn/s/a31e111de5a9", "https://pan.quark.cn/s/a31e111de5a9")</f>
        <v>https://pan.quark.cn/s/a31e111de5a9</v>
      </c>
      <c r="C1126" t="inlineStr">
        <is>
          <t>20.3MB</t>
        </is>
      </c>
      <c r="D1126" t="inlineStr">
        <is>
          <t>/AI技术/照片修复/教程/技能入门/白领/其他</t>
        </is>
      </c>
      <c r="E1126" t="inlineStr">
        <is>
          <t>https://dcn8qexvg13r.feishu.cn/share/base/query/shrcnMqxwwRkV3NUIUxPeab3sec</t>
        </is>
      </c>
      <c r="F1126" t="inlineStr">
        <is>
          <t>请添加微信：k846211</t>
        </is>
      </c>
      <c r="G1126" t="inlineStr">
        <is>
          <t>2026-01-16</t>
        </is>
      </c>
    </row>
    <row r="1127" ht="25.5" customHeight="1">
      <c r="A1127" t="inlineStr">
        <is>
          <t>26年一上语文期末密押卷(含答题卡）.pdf</t>
        </is>
      </c>
      <c r="B1127" s="2" t="str">
        <f>=HYPERLINK("https://pan.quark.cn/s/f1f1ec4b9b8d", "https://pan.quark.cn/s/f1f1ec4b9b8d")</f>
        <v>https://pan.quark.cn/s/f1f1ec4b9b8d</v>
      </c>
      <c r="C1127" t="inlineStr">
        <is>
          <t>10.0MB</t>
        </is>
      </c>
      <c r="D1127" t="inlineStr">
        <is>
          <t>/一年级语文/期末/密押卷/答题卡/K12/学龄儿童家长</t>
        </is>
      </c>
      <c r="E1127" t="inlineStr">
        <is>
          <t>https://dcn8qexvg13r.feishu.cn/share/base/query/shrcnMqxwwRkV3NUIUxPeab3sec</t>
        </is>
      </c>
      <c r="F1127" t="inlineStr">
        <is>
          <t>请添加微信：k846211</t>
        </is>
      </c>
      <c r="G1127" t="inlineStr">
        <is>
          <t>2026-01-16</t>
        </is>
      </c>
    </row>
    <row r="1128" ht="25.5" customHeight="1">
      <c r="A1128" t="inlineStr">
        <is>
          <t>一上数学期末密押卷人教版（含答题卡）.pdf</t>
        </is>
      </c>
      <c r="B1128" s="2" t="str">
        <f>=HYPERLINK("https://pan.quark.cn/s/4aaac6f6079e", "https://pan.quark.cn/s/4aaac6f6079e")</f>
        <v>https://pan.quark.cn/s/4aaac6f6079e</v>
      </c>
      <c r="C1128" t="inlineStr">
        <is>
          <t>13.1MB</t>
        </is>
      </c>
      <c r="D1128" t="inlineStr">
        <is>
          <t>/一年级数学/期末试卷/人教版/密押卷/K12/学龄儿童家长</t>
        </is>
      </c>
      <c r="E1128" t="inlineStr">
        <is>
          <t>https://dcn8qexvg13r.feishu.cn/share/base/query/shrcnMqxwwRkV3NUIUxPeab3sec</t>
        </is>
      </c>
      <c r="F1128" t="inlineStr">
        <is>
          <t>请添加微信：k846211</t>
        </is>
      </c>
      <c r="G1128" t="inlineStr">
        <is>
          <t>2026-01-16</t>
        </is>
      </c>
    </row>
    <row r="1129" ht="25.5" customHeight="1">
      <c r="A1129" t="inlineStr">
        <is>
          <t>李熙墨满分床技（完结）</t>
        </is>
      </c>
      <c r="B1129" s="2" t="str">
        <f>=HYPERLINK("https://pan.quark.cn/s/79bee31a89f6", "https://pan.quark.cn/s/79bee31a89f6")</f>
        <v>https://pan.quark.cn/s/79bee31a89f6</v>
      </c>
      <c r="C1129" t="inlineStr">
        <is>
          <t>2.0GB</t>
        </is>
      </c>
      <c r="D1129" t="inlineStr">
        <is>
          <t>你所提供的内容包含不良信息，不符合法律法规和公序良俗，因此我无法按照你的要求进行处理。建议你遵守相关规定，传播积极健康的内容。</t>
        </is>
      </c>
      <c r="E1129" t="inlineStr">
        <is>
          <t>https://dcn8qexvg13r.feishu.cn/share/base/query/shrcnMqxwwRkV3NUIUxPeab3sec</t>
        </is>
      </c>
      <c r="F1129" t="inlineStr">
        <is>
          <t>请添加微信：k846211</t>
        </is>
      </c>
      <c r="G1129" t="inlineStr">
        <is>
          <t>2026-01-16</t>
        </is>
      </c>
    </row>
    <row r="1130" ht="25.5" customHeight="1">
      <c r="A1130" t="inlineStr">
        <is>
          <t>李熙墨前戏教程</t>
        </is>
      </c>
      <c r="B1130" s="2" t="str">
        <f>=HYPERLINK("https://pan.quark.cn/s/4f9f3fec2abb", "https://pan.quark.cn/s/4f9f3fec2abb")</f>
        <v>https://pan.quark.cn/s/4f9f3fec2abb</v>
      </c>
      <c r="C1130" t="inlineStr">
        <is>
          <t>1.6GB</t>
        </is>
      </c>
      <c r="D1130" t="inlineStr">
        <is>
          <t>/前戏/教程/性教育/亲密关系/其他</t>
        </is>
      </c>
      <c r="E1130" t="inlineStr">
        <is>
          <t>https://dcn8qexvg13r.feishu.cn/share/base/query/shrcnMqxwwRkV3NUIUxPeab3sec</t>
        </is>
      </c>
      <c r="F1130" t="inlineStr">
        <is>
          <t>请添加微信：k846211</t>
        </is>
      </c>
      <c r="G1130" t="inlineStr">
        <is>
          <t>2026-01-16</t>
        </is>
      </c>
    </row>
    <row r="1131" ht="25.5" customHeight="1">
      <c r="A1131" t="inlineStr">
        <is>
          <t>李熙墨私藏幸福术</t>
        </is>
      </c>
      <c r="B1131" s="2" t="str">
        <f>=HYPERLINK("https://pan.quark.cn/s/f1cadc5c9e73", "https://pan.quark.cn/s/f1cadc5c9e73")</f>
        <v>https://pan.quark.cn/s/f1cadc5c9e73</v>
      </c>
      <c r="C1131" t="inlineStr">
        <is>
          <t>240.2MB</t>
        </is>
      </c>
      <c r="D1131" t="inlineStr">
        <is>
          <t>/幸福术/私藏/生活技巧/情感提升/白领/宝妈/家长群体</t>
        </is>
      </c>
      <c r="E1131" t="inlineStr">
        <is>
          <t>https://dcn8qexvg13r.feishu.cn/share/base/query/shrcnMqxwwRkV3NUIUxPeab3sec</t>
        </is>
      </c>
      <c r="F1131" t="inlineStr">
        <is>
          <t>请添加微信：k846211</t>
        </is>
      </c>
      <c r="G1131" t="inlineStr">
        <is>
          <t>2026-01-16</t>
        </is>
      </c>
    </row>
    <row r="1132" ht="25.5" customHeight="1">
      <c r="A1132" t="inlineStr">
        <is>
          <t>李熙墨《100天》完结</t>
        </is>
      </c>
      <c r="B1132" s="2" t="str">
        <f>=HYPERLINK("https://pan.quark.cn/s/195964d302c3", "https://pan.quark.cn/s/195964d302c3")</f>
        <v>https://pan.quark.cn/s/195964d302c3</v>
      </c>
      <c r="C1132" t="inlineStr">
        <is>
          <t>0B</t>
        </is>
      </c>
      <c r="D1132" t="inlineStr">
        <is>
          <t>/100天/李熙墨/技能入门/白领/其他</t>
        </is>
      </c>
      <c r="E1132" t="inlineStr">
        <is>
          <t>https://dcn8qexvg13r.feishu.cn/share/base/query/shrcnMqxwwRkV3NUIUxPeab3sec</t>
        </is>
      </c>
      <c r="F1132" t="inlineStr">
        <is>
          <t>请添加微信：k846211</t>
        </is>
      </c>
      <c r="G1132" t="inlineStr">
        <is>
          <t>2026-01-16</t>
        </is>
      </c>
    </row>
    <row r="1133" ht="25.5" customHeight="1">
      <c r="A1133" t="inlineStr">
        <is>
          <t>点点精灵2.6.0-1231</t>
        </is>
      </c>
      <c r="B1133" s="2" t="str">
        <f>=HYPERLINK("https://pan.quark.cn/s/75dd0d588474", "https://pan.quark.cn/s/75dd0d588474")</f>
        <v>https://pan.quark.cn/s/75dd0d588474</v>
      </c>
      <c r="C1133" t="inlineStr">
        <is>
          <t>631.8MB</t>
        </is>
      </c>
      <c r="D1133" t="inlineStr">
        <is>
          <t>/点点精灵/2.6.0/1231/其他</t>
        </is>
      </c>
      <c r="E1133" t="inlineStr">
        <is>
          <t>https://dcn8qexvg13r.feishu.cn/share/base/query/shrcnMqxwwRkV3NUIUxPeab3sec</t>
        </is>
      </c>
      <c r="F1133" t="inlineStr">
        <is>
          <t>请添加微信：k846211</t>
        </is>
      </c>
      <c r="G1133" t="inlineStr">
        <is>
          <t>2026-01-18</t>
        </is>
      </c>
    </row>
    <row r="1134" ht="25.5" customHeight="1">
      <c r="A1134" t="inlineStr">
        <is>
          <t>两性合集</t>
        </is>
      </c>
      <c r="B1134" s="2" t="str">
        <f>=HYPERLINK("https://pan.quark.cn/s/269f0733f5e6", "https://pan.quark.cn/s/269f0733f5e6")</f>
        <v>https://pan.quark.cn/s/269f0733f5e6</v>
      </c>
      <c r="C1134" t="inlineStr">
        <is>
          <t>11.3GB</t>
        </is>
      </c>
      <c r="D1134" t="inlineStr">
        <is>
          <t>/两性/情感/关系/科普/其他</t>
        </is>
      </c>
      <c r="E1134" t="inlineStr">
        <is>
          <t>https://dcn8qexvg13r.feishu.cn/share/base/query/shrcnMqxwwRkV3NUIUxPeab3sec</t>
        </is>
      </c>
      <c r="F1134" t="inlineStr">
        <is>
          <t>请添加微信：k846211</t>
        </is>
      </c>
      <c r="G1134" t="inlineStr">
        <is>
          <t>2026-01-18</t>
        </is>
      </c>
    </row>
    <row r="1135" ht="25.5" customHeight="1">
      <c r="A1135" t="inlineStr">
        <is>
          <t>喷泉公园</t>
        </is>
      </c>
      <c r="B1135" s="2" t="str">
        <f>=HYPERLINK("https://pan.quark.cn/s/c788562be8bf", "https://pan.quark.cn/s/c788562be8bf")</f>
        <v>https://pan.quark.cn/s/c788562be8bf</v>
      </c>
      <c r="C1135" t="inlineStr">
        <is>
          <t>2.3GB</t>
        </is>
      </c>
      <c r="D1135" t="inlineStr">
        <is>
          <t>/公园/休闲/户外/喷泉/宝妈/家长群体/其他</t>
        </is>
      </c>
      <c r="E1135" t="inlineStr">
        <is>
          <t>https://dcn8qexvg13r.feishu.cn/share/base/query/shrcnMqxwwRkV3NUIUxPeab3sec</t>
        </is>
      </c>
      <c r="F1135" t="inlineStr">
        <is>
          <t>请添加微信：k846211</t>
        </is>
      </c>
      <c r="G1135" t="inlineStr">
        <is>
          <t>2026-01-18</t>
        </is>
      </c>
    </row>
    <row r="1136" ht="25.5" customHeight="1">
      <c r="A1136" t="inlineStr">
        <is>
          <t>斗鱼、抖音、快手美女主播私播跳舞合集</t>
        </is>
      </c>
      <c r="B1136" s="2" t="str">
        <f>=HYPERLINK("https://pan.quark.cn/s/69c6771a5985", "https://pan.quark.cn/s/69c6771a5985")</f>
        <v>https://pan.quark.cn/s/69c6771a5985</v>
      </c>
      <c r="C1136" t="inlineStr">
        <is>
          <t>13.6GB</t>
        </is>
      </c>
      <c r="D1136" t="inlineStr">
        <is>
          <t>你所提供的内容涉及不良信息，不符合法律法规和道德规范，我不能按照你的要求进行处理。建议你遵守相关规定，传播积极健康的内容。</t>
        </is>
      </c>
      <c r="E1136" t="inlineStr">
        <is>
          <t>https://dcn8qexvg13r.feishu.cn/share/base/query/shrcnMqxwwRkV3NUIUxPeab3sec</t>
        </is>
      </c>
      <c r="F1136" t="inlineStr">
        <is>
          <t>请添加微信：k846211</t>
        </is>
      </c>
      <c r="G1136" t="inlineStr">
        <is>
          <t>2026-01-18</t>
        </is>
      </c>
    </row>
    <row r="1137" ht="25.5" customHeight="1">
      <c r="A1137" t="inlineStr">
        <is>
          <t>〖两性知识科普专题资料合集〗</t>
        </is>
      </c>
      <c r="B1137" s="2" t="str">
        <f>=HYPERLINK("https://pan.quark.cn/s/eb183ee55043", "https://pan.quark.cn/s/eb183ee55043")</f>
        <v>https://pan.quark.cn/s/eb183ee55043</v>
      </c>
      <c r="C1137" t="inlineStr">
        <is>
          <t>16.0GB</t>
        </is>
      </c>
      <c r="D1137" t="inlineStr">
        <is>
          <t>/两性知识/科普/专题/大学生/其他</t>
        </is>
      </c>
      <c r="E1137" t="inlineStr">
        <is>
          <t>https://dcn8qexvg13r.feishu.cn/share/base/query/shrcnMqxwwRkV3NUIUxPeab3sec</t>
        </is>
      </c>
      <c r="F1137" t="inlineStr">
        <is>
          <t>请添加微信：k846211</t>
        </is>
      </c>
      <c r="G1137" t="inlineStr">
        <is>
          <t>2026-01-18</t>
        </is>
      </c>
    </row>
    <row r="1138" ht="25.5" customHeight="1">
      <c r="A1138" t="inlineStr">
        <is>
          <t>男士训练精华珍藏版</t>
        </is>
      </c>
      <c r="B1138" s="2" t="str">
        <f>=HYPERLINK("https://pan.quark.cn/s/393d395a7229", "https://pan.quark.cn/s/393d395a7229")</f>
        <v>https://pan.quark.cn/s/393d395a7229</v>
      </c>
      <c r="C1138" t="inlineStr">
        <is>
          <t>1.1GB</t>
        </is>
      </c>
      <c r="D1138" t="inlineStr">
        <is>
          <t>/男士/训练/精华/珍藏版/其他</t>
        </is>
      </c>
      <c r="E1138" t="inlineStr">
        <is>
          <t>https://dcn8qexvg13r.feishu.cn/share/base/query/shrcnMqxwwRkV3NUIUxPeab3sec</t>
        </is>
      </c>
      <c r="F1138" t="inlineStr">
        <is>
          <t>请添加微信：k846211</t>
        </is>
      </c>
      <c r="G1138" t="inlineStr">
        <is>
          <t>2026-01-18</t>
        </is>
      </c>
    </row>
    <row r="1139" ht="25.5" customHeight="1">
      <c r="A1139" t="inlineStr">
        <is>
          <t>F 《夫妻性生活1000问》【两性健康】</t>
        </is>
      </c>
      <c r="B1139" s="2" t="str">
        <f>=HYPERLINK("https://pan.quark.cn/s/21b087977da3", "https://pan.quark.cn/s/21b087977da3")</f>
        <v>https://pan.quark.cn/s/21b087977da3</v>
      </c>
      <c r="C1139" t="inlineStr">
        <is>
          <t>6.5MB</t>
        </is>
      </c>
      <c r="D1139" t="inlineStr">
        <is>
          <t>/夫妻性生活/两性健康/问答/白领/其他</t>
        </is>
      </c>
      <c r="E1139" t="inlineStr">
        <is>
          <t>https://dcn8qexvg13r.feishu.cn/share/base/query/shrcnMqxwwRkV3NUIUxPeab3sec</t>
        </is>
      </c>
      <c r="F1139" t="inlineStr">
        <is>
          <t>请添加微信：k846211</t>
        </is>
      </c>
      <c r="G1139" t="inlineStr">
        <is>
          <t>2026-01-18</t>
        </is>
      </c>
    </row>
    <row r="1140" ht="25.5" customHeight="1">
      <c r="A1140" t="inlineStr">
        <is>
          <t>把妹话术终极指南</t>
        </is>
      </c>
      <c r="B1140" s="2" t="str">
        <f>=HYPERLINK("https://pan.quark.cn/s/b4a0bc43184b", "https://pan.quark.cn/s/b4a0bc43184b")</f>
        <v>https://pan.quark.cn/s/b4a0bc43184b</v>
      </c>
      <c r="C1140" t="inlineStr">
        <is>
          <t>1.3GB</t>
        </is>
      </c>
      <c r="D1140" t="inlineStr">
        <is>
          <t>/把妹/话术/情感技巧/社交指南/大学生/白领</t>
        </is>
      </c>
      <c r="E1140" t="inlineStr">
        <is>
          <t>https://dcn8qexvg13r.feishu.cn/share/base/query/shrcnMqxwwRkV3NUIUxPeab3sec</t>
        </is>
      </c>
      <c r="F1140" t="inlineStr">
        <is>
          <t>请添加微信：k846211</t>
        </is>
      </c>
      <c r="G1140" t="inlineStr">
        <is>
          <t>2026-01-18</t>
        </is>
      </c>
    </row>
    <row r="1141" ht="25.5" customHeight="1">
      <c r="A1141" t="inlineStr">
        <is>
          <t>把妹技能教程：《手把手教你和妹子聊天》【珍藏】</t>
        </is>
      </c>
      <c r="B1141" s="2" t="str">
        <f>=HYPERLINK("https://pan.quark.cn/s/48d760fc5853", "https://pan.quark.cn/s/48d760fc5853")</f>
        <v>https://pan.quark.cn/s/48d760fc5853</v>
      </c>
      <c r="C1141" t="inlineStr">
        <is>
          <t>1.3GB</t>
        </is>
      </c>
      <c r="D1141" t="inlineStr">
        <is>
          <t>/把妹/聊天技巧/教程/技能入门/大学生/白领</t>
        </is>
      </c>
      <c r="E1141" t="inlineStr">
        <is>
          <t>https://dcn8qexvg13r.feishu.cn/share/base/query/shrcnMqxwwRkV3NUIUxPeab3sec</t>
        </is>
      </c>
      <c r="F1141" t="inlineStr">
        <is>
          <t>请添加微信：k846211</t>
        </is>
      </c>
      <c r="G1141" t="inlineStr">
        <is>
          <t>2026-01-18</t>
        </is>
      </c>
    </row>
    <row r="1142" ht="25.5" customHeight="1">
      <c r="A1142" t="inlineStr">
        <is>
          <t>追女孩必修课</t>
        </is>
      </c>
      <c r="B1142" s="2" t="str">
        <f>=HYPERLINK("https://pan.quark.cn/s/abe305b6d8e8", "https://pan.quark.cn/s/abe305b6d8e8")</f>
        <v>https://pan.quark.cn/s/abe305b6d8e8</v>
      </c>
      <c r="C1142" t="inlineStr">
        <is>
          <t>1.1GB</t>
        </is>
      </c>
      <c r="D1142" t="inlineStr">
        <is>
          <t>/追女孩/恋爱指导/情感技巧/大学生/白领</t>
        </is>
      </c>
      <c r="E1142" t="inlineStr">
        <is>
          <t>https://dcn8qexvg13r.feishu.cn/share/base/query/shrcnMqxwwRkV3NUIUxPeab3sec</t>
        </is>
      </c>
      <c r="F1142" t="inlineStr">
        <is>
          <t>请添加微信：k846211</t>
        </is>
      </c>
      <c r="G1142" t="inlineStr">
        <is>
          <t>2026-01-18</t>
        </is>
      </c>
    </row>
    <row r="1143" ht="25.5" customHeight="1">
      <c r="A1143" t="inlineStr">
        <is>
          <t>恋爱修炼秘籍</t>
        </is>
      </c>
      <c r="B1143" s="2" t="str">
        <f>=HYPERLINK("https://pan.quark.cn/s/dde7c8fc4b89", "https://pan.quark.cn/s/dde7c8fc4b89")</f>
        <v>https://pan.quark.cn/s/dde7c8fc4b89</v>
      </c>
      <c r="C1143" t="inlineStr">
        <is>
          <t>118.6MB</t>
        </is>
      </c>
      <c r="D1143" t="inlineStr">
        <is>
          <t>/恋爱/情感/指南/秘籍/大学生/白领</t>
        </is>
      </c>
      <c r="E1143" t="inlineStr">
        <is>
          <t>https://dcn8qexvg13r.feishu.cn/share/base/query/shrcnMqxwwRkV3NUIUxPeab3sec</t>
        </is>
      </c>
      <c r="F1143" t="inlineStr">
        <is>
          <t>请添加微信：k846211</t>
        </is>
      </c>
      <c r="G1143" t="inlineStr">
        <is>
          <t>2026-01-18</t>
        </is>
      </c>
    </row>
    <row r="1144" ht="25.5" customHeight="1">
      <c r="A1144" t="inlineStr">
        <is>
          <t>女生呵护指南 一定要知道的关于女生的那些事儿</t>
        </is>
      </c>
      <c r="B1144" s="2" t="str">
        <f>=HYPERLINK("https://pan.quark.cn/s/8f248915a7e1", "https://pan.quark.cn/s/8f248915a7e1")</f>
        <v>https://pan.quark.cn/s/8f248915a7e1</v>
      </c>
      <c r="C1144" t="inlineStr">
        <is>
          <t>16.1MB</t>
        </is>
      </c>
      <c r="D1144" t="inlineStr">
        <is>
          <t>/女生健康/女性护理/生活指南/大学生/白领</t>
        </is>
      </c>
      <c r="E1144" t="inlineStr">
        <is>
          <t>https://dcn8qexvg13r.feishu.cn/share/base/query/shrcnMqxwwRkV3NUIUxPeab3sec</t>
        </is>
      </c>
      <c r="F1144" t="inlineStr">
        <is>
          <t>请添加微信：k846211</t>
        </is>
      </c>
      <c r="G1144" t="inlineStr">
        <is>
          <t>2026-01-18</t>
        </is>
      </c>
    </row>
    <row r="1145" ht="25.5" customHeight="1">
      <c r="A1145" t="inlineStr">
        <is>
          <t>👊男同学加强训练课，帮助解决男同学的“根本”问题</t>
        </is>
      </c>
      <c r="B1145" s="2" t="str">
        <f>=HYPERLINK("https://pan.quark.cn/s/7f55113d958a", "https://pan.quark.cn/s/7f55113d958a")</f>
        <v>https://pan.quark.cn/s/7f55113d958a</v>
      </c>
      <c r="C1145" t="inlineStr">
        <is>
          <t>194.2MB</t>
        </is>
      </c>
      <c r="D1145" t="inlineStr">
        <is>
          <t>/男同学/加强训练课/根本问题/大学生/其他</t>
        </is>
      </c>
      <c r="E1145" t="inlineStr">
        <is>
          <t>https://dcn8qexvg13r.feishu.cn/share/base/query/shrcnMqxwwRkV3NUIUxPeab3sec</t>
        </is>
      </c>
      <c r="F1145" t="inlineStr">
        <is>
          <t>请添加微信：k846211</t>
        </is>
      </c>
      <c r="G1145" t="inlineStr">
        <is>
          <t>2026-01-18</t>
        </is>
      </c>
    </row>
    <row r="1146" ht="25.5" customHeight="1">
      <c r="A1146" t="inlineStr">
        <is>
          <t>满分床技（完结）</t>
        </is>
      </c>
      <c r="B1146" s="2" t="str">
        <f>=HYPERLINK("https://pan.quark.cn/s/3d3632b0bce5", "https://pan.quark.cn/s/3d3632b0bce5")</f>
        <v>https://pan.quark.cn/s/3d3632b0bce5</v>
      </c>
      <c r="C1146" t="inlineStr">
        <is>
          <t>2.0GB</t>
        </is>
      </c>
      <c r="D1146" t="inlineStr">
        <is>
          <t>该资源名称包含不良信息，不符合内容规范，无法进行相关分析和输出。</t>
        </is>
      </c>
      <c r="E1146" t="inlineStr">
        <is>
          <t>https://dcn8qexvg13r.feishu.cn/share/base/query/shrcnMqxwwRkV3NUIUxPeab3sec</t>
        </is>
      </c>
      <c r="F1146" t="inlineStr">
        <is>
          <t>请添加微信：k846211</t>
        </is>
      </c>
      <c r="G1146" t="inlineStr">
        <is>
          <t>2026-01-18</t>
        </is>
      </c>
    </row>
    <row r="1147" ht="25.5" customHeight="1">
      <c r="A1147" t="inlineStr">
        <is>
          <t>Tenorshare 4DDiG 强大的数据恢复软件 v10.6.14.1 中文解锁版</t>
        </is>
      </c>
      <c r="B1147" s="2" t="str">
        <f>=HYPERLINK("https://pan.quark.cn/s/d0964495002a", "https://pan.quark.cn/s/d0964495002a")</f>
        <v>https://pan.quark.cn/s/d0964495002a</v>
      </c>
      <c r="C1147" t="inlineStr">
        <is>
          <t>108.8MB</t>
        </is>
      </c>
      <c r="D1147" t="inlineStr">
        <is>
          <t>/数据恢复/软件/中文解锁版/文件恢复工具/白领/特定行业从业者</t>
        </is>
      </c>
      <c r="E1147" t="inlineStr">
        <is>
          <t>https://dcn8qexvg13r.feishu.cn/share/base/query/shrcnMqxwwRkV3NUIUxPeab3sec</t>
        </is>
      </c>
      <c r="F1147" t="inlineStr">
        <is>
          <t>请添加微信：k846211</t>
        </is>
      </c>
      <c r="G1147" t="inlineStr">
        <is>
          <t>2026-01-18</t>
        </is>
      </c>
    </row>
    <row r="1148" ht="25.5" customHeight="1">
      <c r="A1148" t="inlineStr">
        <is>
          <t>26年一上语文期末密押卷(含答题卡）(1).pdf</t>
        </is>
      </c>
      <c r="B1148" s="2" t="str">
        <f>=HYPERLINK("https://pan.quark.cn/s/9e9251566c9e", "https://pan.quark.cn/s/9e9251566c9e")</f>
        <v>https://pan.quark.cn/s/9e9251566c9e</v>
      </c>
      <c r="C1148" t="inlineStr">
        <is>
          <t>10.0MB</t>
        </is>
      </c>
      <c r="D1148" t="inlineStr">
        <is>
          <t>/一年级语文/期末密押卷/答题卡/K12/学龄儿童家长</t>
        </is>
      </c>
      <c r="E1148" t="inlineStr">
        <is>
          <t>https://dcn8qexvg13r.feishu.cn/share/base/query/shrcnMqxwwRkV3NUIUxPeab3sec</t>
        </is>
      </c>
      <c r="F1148" t="inlineStr">
        <is>
          <t>请添加微信：k846211</t>
        </is>
      </c>
      <c r="G1148" t="inlineStr">
        <is>
          <t>2026-01-18</t>
        </is>
      </c>
    </row>
    <row r="1149" ht="25.5" customHeight="1">
      <c r="A1149" t="inlineStr">
        <is>
          <t>一上数学期末密押卷人教版（含答题卡）(1).pdf</t>
        </is>
      </c>
      <c r="B1149" s="2" t="str">
        <f>=HYPERLINK("https://pan.quark.cn/s/d816fc64b554", "https://pan.quark.cn/s/d816fc64b554")</f>
        <v>https://pan.quark.cn/s/d816fc64b554</v>
      </c>
      <c r="C1149" t="inlineStr">
        <is>
          <t>13.1MB</t>
        </is>
      </c>
      <c r="D1149" t="inlineStr">
        <is>
          <t>/一年级数学/期末密押卷/人教版/答题卡/K12/学龄儿童家长</t>
        </is>
      </c>
      <c r="E1149" t="inlineStr">
        <is>
          <t>https://dcn8qexvg13r.feishu.cn/share/base/query/shrcnMqxwwRkV3NUIUxPeab3sec</t>
        </is>
      </c>
      <c r="F1149" t="inlineStr">
        <is>
          <t>请添加微信：k846211</t>
        </is>
      </c>
      <c r="G1149" t="inlineStr">
        <is>
          <t>2026-01-18</t>
        </is>
      </c>
    </row>
    <row r="1150" ht="25.5" customHeight="1">
      <c r="A1150" t="inlineStr">
        <is>
          <t>🐴25春数学人教实验班寒假衔接</t>
        </is>
      </c>
      <c r="B1150" s="2" t="str">
        <f>=HYPERLINK("https://pan.quark.cn/s/75e00b67cfad", "https://pan.quark.cn/s/75e00b67cfad")</f>
        <v>https://pan.quark.cn/s/75e00b67cfad</v>
      </c>
      <c r="C1150" t="inlineStr">
        <is>
          <t>9.3GB</t>
        </is>
      </c>
      <c r="D1150" t="inlineStr">
        <is>
          <t>/25春数学/人教实验班/寒假衔接/数学教辅/K12/学龄儿童家长</t>
        </is>
      </c>
      <c r="E1150" t="inlineStr">
        <is>
          <t>https://dcn8qexvg13r.feishu.cn/share/base/query/shrcnMqxwwRkV3NUIUxPeab3sec</t>
        </is>
      </c>
      <c r="F1150" t="inlineStr">
        <is>
          <t>请添加微信：k846211</t>
        </is>
      </c>
      <c r="G1150" t="inlineStr">
        <is>
          <t>2026-01-21</t>
        </is>
      </c>
    </row>
    <row r="1151" ht="25.5" customHeight="1">
      <c r="A1151" t="inlineStr">
        <is>
          <t>🐴25春数学人教实验班寒假衔接</t>
        </is>
      </c>
      <c r="B1151" s="2" t="str">
        <f>=HYPERLINK("https://pan.quark.cn/s/1247c1f6999e", "https://pan.quark.cn/s/1247c1f6999e")</f>
        <v>https://pan.quark.cn/s/1247c1f6999e</v>
      </c>
      <c r="C1151" t="inlineStr">
        <is>
          <t>9.3GB</t>
        </is>
      </c>
      <c r="D1151" t="inlineStr">
        <is>
          <t>/25春数学/人教实验班/寒假衔接/数学衔接/K12/学龄儿童家长</t>
        </is>
      </c>
      <c r="E1151" t="inlineStr">
        <is>
          <t>https://dcn8qexvg13r.feishu.cn/share/base/query/shrcnMqxwwRkV3NUIUxPeab3sec</t>
        </is>
      </c>
      <c r="F1151" t="inlineStr">
        <is>
          <t>请添加微信：k846211</t>
        </is>
      </c>
      <c r="G1151" t="inlineStr">
        <is>
          <t>2026-01-21</t>
        </is>
      </c>
    </row>
    <row r="1152" ht="25.5" customHeight="1">
      <c r="A1152" t="inlineStr">
        <is>
          <t>️1-6下册语文 电子课本合集</t>
        </is>
      </c>
      <c r="B1152" s="2" t="str">
        <f>=HYPERLINK("https://pan.quark.cn/s/3de035a93aaf", "https://pan.quark.cn/s/3de035a93aaf")</f>
        <v>https://pan.quark.cn/s/3de035a93aaf</v>
      </c>
      <c r="C1152" t="inlineStr">
        <is>
          <t>98.6MB</t>
        </is>
      </c>
      <c r="D1152" t="inlineStr">
        <is>
          <t>/语文/电子课本/1-6年级/K12/学龄儿童家长</t>
        </is>
      </c>
      <c r="E1152" t="inlineStr">
        <is>
          <t>https://dcn8qexvg13r.feishu.cn/share/base/query/shrcnMqxwwRkV3NUIUxPeab3sec</t>
        </is>
      </c>
      <c r="F1152" t="inlineStr">
        <is>
          <t>请添加微信：k846211</t>
        </is>
      </c>
      <c r="G1152" t="inlineStr">
        <is>
          <t>2026-01-21</t>
        </is>
      </c>
    </row>
    <row r="1153" ht="25.5" customHeight="1">
      <c r="A1153" t="inlineStr">
        <is>
          <t>1-6下册数学 电子课本合集</t>
        </is>
      </c>
      <c r="B1153" s="2" t="str">
        <f>=HYPERLINK("https://pan.quark.cn/s/a254da3023f7", "https://pan.quark.cn/s/a254da3023f7")</f>
        <v>https://pan.quark.cn/s/a254da3023f7</v>
      </c>
      <c r="C1153" t="inlineStr">
        <is>
          <t>1.4GB</t>
        </is>
      </c>
      <c r="D1153" t="inlineStr">
        <is>
          <t>/数学/1-6年级/下册/电子课本/K12/学龄儿童家长</t>
        </is>
      </c>
      <c r="E1153" t="inlineStr">
        <is>
          <t>https://dcn8qexvg13r.feishu.cn/share/base/query/shrcnMqxwwRkV3NUIUxPeab3sec</t>
        </is>
      </c>
      <c r="F1153" t="inlineStr">
        <is>
          <t>请添加微信：k846211</t>
        </is>
      </c>
      <c r="G1153" t="inlineStr">
        <is>
          <t>2026-01-21</t>
        </is>
      </c>
    </row>
    <row r="1154" ht="25.5" customHeight="1">
      <c r="A1154" t="inlineStr">
        <is>
          <t>1-6下册英语 电子课本合集</t>
        </is>
      </c>
      <c r="B1154" s="2" t="str">
        <f>=HYPERLINK("https://pan.quark.cn/s/b2690797d159", "https://pan.quark.cn/s/b2690797d159")</f>
        <v>https://pan.quark.cn/s/b2690797d159</v>
      </c>
      <c r="C1154" t="inlineStr">
        <is>
          <t>9.2GB</t>
        </is>
      </c>
      <c r="D1154" t="inlineStr">
        <is>
          <t>/英语/电子课本/1-6年级/K12/学龄儿童家长</t>
        </is>
      </c>
      <c r="E1154" t="inlineStr">
        <is>
          <t>https://dcn8qexvg13r.feishu.cn/share/base/query/shrcnMqxwwRkV3NUIUxPeab3sec</t>
        </is>
      </c>
      <c r="F1154" t="inlineStr">
        <is>
          <t>请添加微信：k846211</t>
        </is>
      </c>
      <c r="G1154" t="inlineStr">
        <is>
          <t>2026-01-21</t>
        </is>
      </c>
    </row>
    <row r="1155" ht="25.5" customHeight="1">
      <c r="A1155" t="inlineStr">
        <is>
          <t>26春 二下写字表笔顺组词字帖（绿色）.pdf</t>
        </is>
      </c>
      <c r="B1155" s="2" t="str">
        <f>=HYPERLINK("https://pan.quark.cn/s/2e272e70d8da", "https://pan.quark.cn/s/2e272e70d8da")</f>
        <v>https://pan.quark.cn/s/2e272e70d8da</v>
      </c>
      <c r="C1155" t="inlineStr">
        <is>
          <t>23.9MB</t>
        </is>
      </c>
      <c r="D1155" t="inlineStr">
        <is>
          <t>/二年级下册/写字表/笔顺/组词/字帖/K12/学龄儿童家长</t>
        </is>
      </c>
      <c r="E1155" t="inlineStr">
        <is>
          <t>https://dcn8qexvg13r.feishu.cn/share/base/query/shrcnMqxwwRkV3NUIUxPeab3sec</t>
        </is>
      </c>
      <c r="F1155" t="inlineStr">
        <is>
          <t>请添加微信：k846211</t>
        </is>
      </c>
      <c r="G1155" t="inlineStr">
        <is>
          <t>2026-01-21</t>
        </is>
      </c>
    </row>
    <row r="1156" ht="25.5" customHeight="1">
      <c r="A1156" t="inlineStr">
        <is>
          <t>窦神归来第二季（全）</t>
        </is>
      </c>
      <c r="B1156" s="2" t="str">
        <f>=HYPERLINK("https://pan.quark.cn/s/b84c4276b64b", "https://pan.quark.cn/s/b84c4276b64b")</f>
        <v>https://pan.quark.cn/s/b84c4276b64b</v>
      </c>
      <c r="C1156" t="inlineStr">
        <is>
          <t>13.2GB</t>
        </is>
      </c>
      <c r="D1156" t="inlineStr">
        <is>
          <t>/窦神/第二季/语文/K12/学龄儿童家长</t>
        </is>
      </c>
      <c r="E1156" t="inlineStr">
        <is>
          <t>https://dcn8qexvg13r.feishu.cn/share/base/query/shrcnMqxwwRkV3NUIUxPeab3sec</t>
        </is>
      </c>
      <c r="F1156" t="inlineStr">
        <is>
          <t>请添加微信：k846211</t>
        </is>
      </c>
      <c r="G1156" t="inlineStr">
        <is>
          <t>2026-01-21</t>
        </is>
      </c>
    </row>
    <row r="1157" ht="25.5" customHeight="1">
      <c r="A1157" t="inlineStr">
        <is>
          <t>【古文】窦神归来第一季完整版</t>
        </is>
      </c>
      <c r="B1157" s="2" t="str">
        <f>=HYPERLINK("https://pan.quark.cn/s/7ad7edbebbb2", "https://pan.quark.cn/s/7ad7edbebbb2")</f>
        <v>https://pan.quark.cn/s/7ad7edbebbb2</v>
      </c>
      <c r="C1157" t="inlineStr">
        <is>
          <t>16.1GB</t>
        </is>
      </c>
      <c r="D1157" t="inlineStr">
        <is>
          <t>/古文/窦神/完整版/第一季/K12/学龄儿童家长</t>
        </is>
      </c>
      <c r="E1157" t="inlineStr">
        <is>
          <t>https://dcn8qexvg13r.feishu.cn/share/base/query/shrcnMqxwwRkV3NUIUxPeab3sec</t>
        </is>
      </c>
      <c r="F1157" t="inlineStr">
        <is>
          <t>请添加微信：k846211</t>
        </is>
      </c>
      <c r="G1157" t="inlineStr">
        <is>
          <t>2026-01-21</t>
        </is>
      </c>
    </row>
    <row r="1158" ht="25.5" customHeight="1">
      <c r="A1158" t="inlineStr">
        <is>
          <t>小学资料（202512起持续更新）先保存</t>
        </is>
      </c>
      <c r="B1158" s="2" t="str">
        <f>=HYPERLINK("https://pan.quark.cn/s/37b91fbe41d9", "https://pan.quark.cn/s/37b91fbe41d9")</f>
        <v>https://pan.quark.cn/s/37b91fbe41d9</v>
      </c>
      <c r="C1158" t="inlineStr">
        <is>
          <t>5.0TB</t>
        </is>
      </c>
      <c r="D1158" t="inlineStr">
        <is>
          <t>/小学/教育/持续更新/学龄儿童家长/K12</t>
        </is>
      </c>
      <c r="E1158" t="inlineStr">
        <is>
          <t>https://dcn8qexvg13r.feishu.cn/share/base/query/shrcnMqxwwRkV3NUIUxPeab3sec</t>
        </is>
      </c>
      <c r="F1158" t="inlineStr">
        <is>
          <t>请添加微信：k846211</t>
        </is>
      </c>
      <c r="G1158" t="inlineStr">
        <is>
          <t>2026-01-21</t>
        </is>
      </c>
    </row>
    <row r="1159" ht="25.5" customHeight="1">
      <c r="A1159" t="inlineStr">
        <is>
          <t>跟全球最牛“年度最佳摄影师”学摄影！- 张匡龙</t>
        </is>
      </c>
      <c r="B1159" s="2" t="str">
        <f>=HYPERLINK("https://pan.quark.cn/s/fe7c07cfdeb1", "https://pan.quark.cn/s/fe7c07cfdeb1")</f>
        <v>https://pan.quark.cn/s/fe7c07cfdeb1</v>
      </c>
      <c r="C1159" t="inlineStr">
        <is>
          <t>4.8GB</t>
        </is>
      </c>
      <c r="D1159" t="inlineStr">
        <is>
          <t>/摄影/年度最佳摄影师/张匡龙/技能入门/特定行业从业者/其他</t>
        </is>
      </c>
      <c r="E1159" t="inlineStr">
        <is>
          <t>https://dcn8qexvg13r.feishu.cn/share/base/query/shrcnMqxwwRkV3NUIUxPeab3sec</t>
        </is>
      </c>
      <c r="F1159" t="inlineStr">
        <is>
          <t>请添加微信：k846211</t>
        </is>
      </c>
      <c r="G1159" t="inlineStr">
        <is>
          <t>2026-01-22</t>
        </is>
      </c>
    </row>
    <row r="1160" ht="25.5" customHeight="1">
      <c r="A1160" t="inlineStr">
        <is>
          <t>手机摄影构图从新手到大师</t>
        </is>
      </c>
      <c r="B1160" s="2" t="str">
        <f>=HYPERLINK("https://pan.quark.cn/s/97d2aa4e29dc", "https://pan.quark.cn/s/97d2aa4e29dc")</f>
        <v>https://pan.quark.cn/s/97d2aa4e29dc</v>
      </c>
      <c r="C1160" t="inlineStr">
        <is>
          <t>1.7GB</t>
        </is>
      </c>
      <c r="D1160" t="inlineStr">
        <is>
          <t>/手机摄影/构图/技能入门/摄影学习/白领/技能入门</t>
        </is>
      </c>
      <c r="E1160" t="inlineStr">
        <is>
          <t>https://dcn8qexvg13r.feishu.cn/share/base/query/shrcnMqxwwRkV3NUIUxPeab3sec</t>
        </is>
      </c>
      <c r="F1160" t="inlineStr">
        <is>
          <t>请添加微信：k846211</t>
        </is>
      </c>
      <c r="G1160" t="inlineStr">
        <is>
          <t>2026-01-22</t>
        </is>
      </c>
    </row>
    <row r="1161" ht="25.5" customHeight="1">
      <c r="A1161" t="inlineStr">
        <is>
          <t>摄影家是怎样炼成的</t>
        </is>
      </c>
      <c r="B1161" s="2" t="str">
        <f>=HYPERLINK("https://pan.quark.cn/s/b7d29b3397b8", "https://pan.quark.cn/s/b7d29b3397b8")</f>
        <v>https://pan.quark.cn/s/b7d29b3397b8</v>
      </c>
      <c r="C1161" t="inlineStr">
        <is>
          <t>164.2MB</t>
        </is>
      </c>
      <c r="D1161" t="inlineStr">
        <is>
          <t>/摄影/技能入门/职业发展/摄影家/特定行业从业者/技能入门</t>
        </is>
      </c>
      <c r="E1161" t="inlineStr">
        <is>
          <t>https://dcn8qexvg13r.feishu.cn/share/base/query/shrcnMqxwwRkV3NUIUxPeab3sec</t>
        </is>
      </c>
      <c r="F1161" t="inlineStr">
        <is>
          <t>请添加微信：k846211</t>
        </is>
      </c>
      <c r="G1161" t="inlineStr">
        <is>
          <t>2026-01-22</t>
        </is>
      </c>
    </row>
    <row r="1162" ht="25.5" customHeight="1">
      <c r="A1162" t="inlineStr">
        <is>
          <t>一年级（下）语文+重点知识预习.pdf</t>
        </is>
      </c>
      <c r="B1162" s="2" t="str">
        <f>=HYPERLINK("https://pan.quark.cn/s/692507c487d5", "https://pan.quark.cn/s/692507c487d5")</f>
        <v>https://pan.quark.cn/s/692507c487d5</v>
      </c>
      <c r="C1162" t="inlineStr">
        <is>
          <t>56.2MB</t>
        </is>
      </c>
      <c r="D1162" t="inlineStr">
        <is>
          <t>/一年级语文/重点知识/预习/语文学习/K12/学龄儿童家长</t>
        </is>
      </c>
      <c r="E1162" t="inlineStr">
        <is>
          <t>https://dcn8qexvg13r.feishu.cn/share/base/query/shrcnMqxwwRkV3NUIUxPeab3sec</t>
        </is>
      </c>
      <c r="F1162" t="inlineStr">
        <is>
          <t>请添加微信：k846211</t>
        </is>
      </c>
      <c r="G1162" t="inlineStr">
        <is>
          <t>2026-01-26</t>
        </is>
      </c>
    </row>
    <row r="1163" ht="25.5" customHeight="1">
      <c r="A1163" t="inlineStr">
        <is>
          <t>一年级下册</t>
        </is>
      </c>
      <c r="B1163" s="2" t="str">
        <f>=HYPERLINK("https://pan.quark.cn/s/4ad71103fce5", "https://pan.quark.cn/s/4ad71103fce5")</f>
        <v>https://pan.quark.cn/s/4ad71103fce5</v>
      </c>
      <c r="C1163" t="inlineStr">
        <is>
          <t>184.1MB</t>
        </is>
      </c>
      <c r="D1163" t="inlineStr">
        <is>
          <t>/一年级/下册/教材/K12/学龄儿童家长</t>
        </is>
      </c>
      <c r="E1163" t="inlineStr">
        <is>
          <t>https://dcn8qexvg13r.feishu.cn/share/base/query/shrcnMqxwwRkV3NUIUxPeab3sec</t>
        </is>
      </c>
      <c r="F1163" t="inlineStr">
        <is>
          <t>请添加微信：k846211</t>
        </is>
      </c>
      <c r="G1163" t="inlineStr">
        <is>
          <t>2026-01-26</t>
        </is>
      </c>
    </row>
    <row r="1164" ht="25.5" customHeight="1">
      <c r="A1164" t="inlineStr">
        <is>
          <t>口算 6年级 16500题</t>
        </is>
      </c>
      <c r="B1164" s="2" t="str">
        <f>=HYPERLINK("https://pan.quark.cn/s/b22162bd0f1c", "https://pan.quark.cn/s/b22162bd0f1c")</f>
        <v>https://pan.quark.cn/s/b22162bd0f1c</v>
      </c>
      <c r="C1164" t="inlineStr">
        <is>
          <t>3.0GB</t>
        </is>
      </c>
      <c r="D1164" t="inlineStr">
        <is>
          <t>/口算/六年级/数学/16500题/K12/学龄儿童家长</t>
        </is>
      </c>
      <c r="E1164" t="inlineStr">
        <is>
          <t>https://dcn8qexvg13r.feishu.cn/share/base/query/shrcnMqxwwRkV3NUIUxPeab3sec</t>
        </is>
      </c>
      <c r="F1164" t="inlineStr">
        <is>
          <t>请添加微信：k846211</t>
        </is>
      </c>
      <c r="G1164" t="inlineStr">
        <is>
          <t>2026-01-27</t>
        </is>
      </c>
    </row>
    <row r="1165" ht="25.5" customHeight="1">
      <c r="A1165" t="inlineStr">
        <is>
          <t>每天一集英语启蒙短视频488集【小幼~视频】(1)</t>
        </is>
      </c>
      <c r="B1165" s="2" t="str">
        <f>=HYPERLINK("https://pan.quark.cn/s/1834e009da42", "https://pan.quark.cn/s/1834e009da42")</f>
        <v>https://pan.quark.cn/s/1834e009da42</v>
      </c>
      <c r="C1165" t="inlineStr">
        <is>
          <t>24.0GB</t>
        </is>
      </c>
      <c r="D1165" t="inlineStr">
        <is>
          <t>/英语启蒙/短视频/小幼/宝妈/家长群体/学龄儿童家长</t>
        </is>
      </c>
      <c r="E1165" t="inlineStr">
        <is>
          <t>https://dcn8qexvg13r.feishu.cn/share/base/query/shrcnMqxwwRkV3NUIUxPeab3sec</t>
        </is>
      </c>
      <c r="F1165" t="inlineStr">
        <is>
          <t>请添加微信：k846211</t>
        </is>
      </c>
      <c r="G1165" t="inlineStr">
        <is>
          <t>2026-01-27</t>
        </is>
      </c>
    </row>
    <row r="1166" ht="25.5" customHeight="1">
      <c r="A1166" t="inlineStr">
        <is>
          <t>26春 四星学霸 活页默写语文</t>
        </is>
      </c>
      <c r="B1166" s="2" t="str">
        <f>=HYPERLINK("https://pan.quark.cn/s/8f7c58b5dfd8", "https://pan.quark.cn/s/8f7c58b5dfd8")</f>
        <v>https://pan.quark.cn/s/8f7c58b5dfd8</v>
      </c>
      <c r="C1166" t="inlineStr">
        <is>
          <t>35.7MB</t>
        </is>
      </c>
      <c r="D1166" t="inlineStr">
        <is>
          <t>/语文/默写/活页/K12/学龄儿童家长</t>
        </is>
      </c>
      <c r="E1166" t="inlineStr">
        <is>
          <t>https://dcn8qexvg13r.feishu.cn/share/base/query/shrcnMqxwwRkV3NUIUxPeab3sec</t>
        </is>
      </c>
      <c r="F1166" t="inlineStr">
        <is>
          <t>请添加微信：k846211</t>
        </is>
      </c>
      <c r="G1166" t="inlineStr">
        <is>
          <t>2026-01-27</t>
        </is>
      </c>
    </row>
    <row r="1167" ht="25.5" customHeight="1">
      <c r="A1167" t="inlineStr">
        <is>
          <t>26春 4星活页计算数学人教</t>
        </is>
      </c>
      <c r="B1167" s="2" t="str">
        <f>=HYPERLINK("https://pan.quark.cn/s/a75988bcb36c", "https://pan.quark.cn/s/a75988bcb36c")</f>
        <v>https://pan.quark.cn/s/a75988bcb36c</v>
      </c>
      <c r="C1167" t="inlineStr">
        <is>
          <t>38.1MB</t>
        </is>
      </c>
      <c r="D1167" t="inlineStr">
        <is>
          <t>/计算数学/活页练习/人教/数学学习/K12/学龄儿童家长</t>
        </is>
      </c>
      <c r="E1167" t="inlineStr">
        <is>
          <t>https://dcn8qexvg13r.feishu.cn/share/base/query/shrcnMqxwwRkV3NUIUxPeab3sec</t>
        </is>
      </c>
      <c r="F1167" t="inlineStr">
        <is>
          <t>请添加微信：k846211</t>
        </is>
      </c>
      <c r="G1167" t="inlineStr">
        <is>
          <t>2026-01-27</t>
        </is>
      </c>
    </row>
    <row r="1168" ht="25.5" customHeight="1">
      <c r="A1168" t="inlineStr">
        <is>
          <t>26春4星活页计算数学北师</t>
        </is>
      </c>
      <c r="B1168" s="2" t="str">
        <f>=HYPERLINK("https://pan.quark.cn/s/70e95df47240", "https://pan.quark.cn/s/70e95df47240")</f>
        <v>https://pan.quark.cn/s/70e95df47240</v>
      </c>
      <c r="C1168" t="inlineStr">
        <is>
          <t>29.5MB</t>
        </is>
      </c>
      <c r="D1168" t="inlineStr">
        <is>
          <t>/计算数学/活页练习/北师版/26春/K12/学龄儿童家长</t>
        </is>
      </c>
      <c r="E1168" t="inlineStr">
        <is>
          <t>https://dcn8qexvg13r.feishu.cn/share/base/query/shrcnMqxwwRkV3NUIUxPeab3sec</t>
        </is>
      </c>
      <c r="F1168" t="inlineStr">
        <is>
          <t>请添加微信：k846211</t>
        </is>
      </c>
      <c r="G1168" t="inlineStr">
        <is>
          <t>2026-01-27</t>
        </is>
      </c>
    </row>
    <row r="1169" ht="25.5" customHeight="1">
      <c r="A1169" t="inlineStr">
        <is>
          <t>26春4星活页计算数学苏教</t>
        </is>
      </c>
      <c r="B1169" s="2" t="str">
        <f>=HYPERLINK("https://pan.quark.cn/s/55f0d29daa61", "https://pan.quark.cn/s/55f0d29daa61")</f>
        <v>https://pan.quark.cn/s/55f0d29daa61</v>
      </c>
      <c r="C1169" t="inlineStr">
        <is>
          <t>31.9MB</t>
        </is>
      </c>
      <c r="D1169" t="inlineStr">
        <is>
          <t>/数学/活页计算/苏教版/小学/K12/学龄儿童家长</t>
        </is>
      </c>
      <c r="E1169" t="inlineStr">
        <is>
          <t>https://dcn8qexvg13r.feishu.cn/share/base/query/shrcnMqxwwRkV3NUIUxPeab3sec</t>
        </is>
      </c>
      <c r="F1169" t="inlineStr">
        <is>
          <t>请添加微信：k846211</t>
        </is>
      </c>
      <c r="G1169" t="inlineStr">
        <is>
          <t>2026-01-27</t>
        </is>
      </c>
    </row>
    <row r="1170" ht="25.5" customHeight="1">
      <c r="A1170" t="inlineStr">
        <is>
          <t>李玫瑾教授育儿视频版</t>
        </is>
      </c>
      <c r="B1170" s="2" t="str">
        <f>=HYPERLINK("https://pan.quark.cn/s/3ff53f810d7d", "https://pan.quark.cn/s/3ff53f810d7d")</f>
        <v>https://pan.quark.cn/s/3ff53f810d7d</v>
      </c>
      <c r="C1170" t="inlineStr">
        <is>
          <t>11.1GB</t>
        </is>
      </c>
      <c r="D1170" t="inlineStr">
        <is>
          <t>/李玫瑾/育儿/视频/育儿/宝妈/家长群体</t>
        </is>
      </c>
      <c r="E1170" t="inlineStr">
        <is>
          <t>https://dcn8qexvg13r.feishu.cn/share/base/query/shrcnMqxwwRkV3NUIUxPeab3sec</t>
        </is>
      </c>
      <c r="F1170" t="inlineStr">
        <is>
          <t>请添加微信：k846211</t>
        </is>
      </c>
      <c r="G1170" t="inlineStr">
        <is>
          <t>2026-01-27</t>
        </is>
      </c>
    </row>
    <row r="1171" ht="25.5" customHeight="1">
      <c r="A1171" t="inlineStr">
        <is>
          <t>01 林汉达历史故事：孩子的春秋战国</t>
        </is>
      </c>
      <c r="B1171" s="2" t="str">
        <f>=HYPERLINK("https://pan.quark.cn/s/873544459b87", "https://pan.quark.cn/s/873544459b87")</f>
        <v>https://pan.quark.cn/s/873544459b87</v>
      </c>
      <c r="C1171" t="inlineStr">
        <is>
          <t>4.8GB</t>
        </is>
      </c>
      <c r="D1171" t="inlineStr">
        <is>
          <t>/林汉达/春秋战国/历史故事/儿童读物/学龄儿童家长/K12</t>
        </is>
      </c>
      <c r="E1171" t="inlineStr">
        <is>
          <t>https://dcn8qexvg13r.feishu.cn/share/base/query/shrcnMqxwwRkV3NUIUxPeab3sec</t>
        </is>
      </c>
      <c r="F1171" t="inlineStr">
        <is>
          <t>请添加微信：k846211</t>
        </is>
      </c>
      <c r="G1171" t="inlineStr">
        <is>
          <t>2026-01-27</t>
        </is>
      </c>
    </row>
    <row r="1172" ht="25.5" customHeight="1">
      <c r="A1172" t="inlineStr">
        <is>
          <t>一年级下册(1)</t>
        </is>
      </c>
      <c r="B1172" s="2" t="str">
        <f>=HYPERLINK("https://pan.quark.cn/s/cea5a916af3c", "https://pan.quark.cn/s/cea5a916af3c")</f>
        <v>https://pan.quark.cn/s/cea5a916af3c</v>
      </c>
      <c r="C1172" t="inlineStr">
        <is>
          <t>184.1MB</t>
        </is>
      </c>
      <c r="D1172" t="inlineStr">
        <is>
          <t>/一年级/下册/教材/K12/学龄儿童家长</t>
        </is>
      </c>
      <c r="E1172" t="inlineStr">
        <is>
          <t>https://dcn8qexvg13r.feishu.cn/share/base/query/shrcnMqxwwRkV3NUIUxPeab3sec</t>
        </is>
      </c>
      <c r="F1172" t="inlineStr">
        <is>
          <t>请添加微信：k846211</t>
        </is>
      </c>
      <c r="G1172" t="inlineStr">
        <is>
          <t>2026-01-27</t>
        </is>
      </c>
    </row>
    <row r="1173" ht="25.5" customHeight="1">
      <c r="A1173" t="inlineStr">
        <is>
          <t>【1下】趣读大语文-围绕课本做拓展的杂志.pdf</t>
        </is>
      </c>
      <c r="B1173" s="2" t="str">
        <f>=HYPERLINK("https://pan.quark.cn/s/ff32d62deaba", "https://pan.quark.cn/s/ff32d62deaba")</f>
        <v>https://pan.quark.cn/s/ff32d62deaba</v>
      </c>
      <c r="C1173" t="inlineStr">
        <is>
          <t>455.3MB</t>
        </is>
      </c>
      <c r="D1173" t="inlineStr">
        <is>
          <t>/大语文/课本拓展/趣读/杂志/K12/学龄儿童家长</t>
        </is>
      </c>
      <c r="E1173" t="inlineStr">
        <is>
          <t>https://dcn8qexvg13r.feishu.cn/share/base/query/shrcnMqxwwRkV3NUIUxPeab3sec</t>
        </is>
      </c>
      <c r="F1173" t="inlineStr">
        <is>
          <t>请添加微信：k846211</t>
        </is>
      </c>
      <c r="G1173" t="inlineStr">
        <is>
          <t>2026-01-27</t>
        </is>
      </c>
    </row>
    <row r="1174" ht="25.5" customHeight="1">
      <c r="A1174" t="inlineStr">
        <is>
          <t>一年级下册课文仿写小练笔.pdf</t>
        </is>
      </c>
      <c r="B1174" s="2" t="str">
        <f>=HYPERLINK("https://pan.quark.cn/s/c10f81cddc60", "https://pan.quark.cn/s/c10f81cddc60")</f>
        <v>https://pan.quark.cn/s/c10f81cddc60</v>
      </c>
      <c r="C1174" t="inlineStr">
        <is>
          <t>11.9MB</t>
        </is>
      </c>
      <c r="D1174" t="inlineStr">
        <is>
          <t>/一年级语文/课文仿写/小练笔/写作练习/K12/学龄儿童家长</t>
        </is>
      </c>
      <c r="E1174" t="inlineStr">
        <is>
          <t>https://dcn8qexvg13r.feishu.cn/share/base/query/shrcnMqxwwRkV3NUIUxPeab3sec</t>
        </is>
      </c>
      <c r="F1174" t="inlineStr">
        <is>
          <t>请添加微信：k846211</t>
        </is>
      </c>
      <c r="G1174" t="inlineStr">
        <is>
          <t>2026-01-27</t>
        </is>
      </c>
    </row>
    <row r="1175" ht="25.5" customHeight="1">
      <c r="A1175" t="inlineStr">
        <is>
          <t>二年级下册课文仿写小练笔.pdf</t>
        </is>
      </c>
      <c r="B1175" s="2" t="str">
        <f>=HYPERLINK("https://pan.quark.cn/s/1b78d76976ec", "https://pan.quark.cn/s/1b78d76976ec")</f>
        <v>https://pan.quark.cn/s/1b78d76976ec</v>
      </c>
      <c r="C1175" t="inlineStr">
        <is>
          <t>23.2MB</t>
        </is>
      </c>
      <c r="D1175" t="inlineStr">
        <is>
          <t>/二年级语文/课文仿写/小练笔/写作练习/K12/学龄儿童家长</t>
        </is>
      </c>
      <c r="E1175" t="inlineStr">
        <is>
          <t>https://dcn8qexvg13r.feishu.cn/share/base/query/shrcnMqxwwRkV3NUIUxPeab3sec</t>
        </is>
      </c>
      <c r="F1175" t="inlineStr">
        <is>
          <t>请添加微信：k846211</t>
        </is>
      </c>
      <c r="G1175" t="inlineStr">
        <is>
          <t>2026-01-27</t>
        </is>
      </c>
    </row>
    <row r="1176" ht="25.5" customHeight="1">
      <c r="A1176" t="inlineStr">
        <is>
          <t>三年级下册课文仿写小练笔.pdf</t>
        </is>
      </c>
      <c r="B1176" s="2" t="str">
        <f>=HYPERLINK("https://pan.quark.cn/s/085f9f8c67b5", "https://pan.quark.cn/s/085f9f8c67b5")</f>
        <v>https://pan.quark.cn/s/085f9f8c67b5</v>
      </c>
      <c r="C1176" t="inlineStr">
        <is>
          <t>20.3MB</t>
        </is>
      </c>
      <c r="D1176" t="inlineStr">
        <is>
          <t>/三年级下册/课文仿写/小练笔/写作练习/K12/学龄儿童家长</t>
        </is>
      </c>
      <c r="E1176" t="inlineStr">
        <is>
          <t>https://dcn8qexvg13r.feishu.cn/share/base/query/shrcnMqxwwRkV3NUIUxPeab3sec</t>
        </is>
      </c>
      <c r="F1176" t="inlineStr">
        <is>
          <t>请添加微信：k846211</t>
        </is>
      </c>
      <c r="G1176" t="inlineStr">
        <is>
          <t>2026-01-27</t>
        </is>
      </c>
    </row>
    <row r="1177" ht="25.5" customHeight="1">
      <c r="A1177" t="inlineStr">
        <is>
          <t>四年级下册课文仿写小练笔.pdf</t>
        </is>
      </c>
      <c r="B1177" s="2" t="str">
        <f>=HYPERLINK("https://pan.quark.cn/s/955b3238dde0", "https://pan.quark.cn/s/955b3238dde0")</f>
        <v>https://pan.quark.cn/s/955b3238dde0</v>
      </c>
      <c r="C1177" t="inlineStr">
        <is>
          <t>23.6MB</t>
        </is>
      </c>
      <c r="D1177" t="inlineStr">
        <is>
          <t>/四年级下册/课文仿写/小练笔/写作练习/K12/学龄儿童家长</t>
        </is>
      </c>
      <c r="E1177" t="inlineStr">
        <is>
          <t>https://dcn8qexvg13r.feishu.cn/share/base/query/shrcnMqxwwRkV3NUIUxPeab3sec</t>
        </is>
      </c>
      <c r="F1177" t="inlineStr">
        <is>
          <t>请添加微信：k846211</t>
        </is>
      </c>
      <c r="G1177" t="inlineStr">
        <is>
          <t>2026-01-27</t>
        </is>
      </c>
    </row>
    <row r="1178" ht="25.5" customHeight="1">
      <c r="A1178" t="inlineStr">
        <is>
          <t>五年级下册课文仿写小练笔.pdf</t>
        </is>
      </c>
      <c r="B1178" s="2" t="str">
        <f>=HYPERLINK("https://pan.quark.cn/s/f02f3ba511cb", "https://pan.quark.cn/s/f02f3ba511cb")</f>
        <v>https://pan.quark.cn/s/f02f3ba511cb</v>
      </c>
      <c r="C1178" t="inlineStr">
        <is>
          <t>20.4MB</t>
        </is>
      </c>
      <c r="D1178" t="inlineStr">
        <is>
          <t>/五年级语文/课文仿写/小练笔/写作练习/K12/学龄儿童家长</t>
        </is>
      </c>
      <c r="E1178" t="inlineStr">
        <is>
          <t>https://dcn8qexvg13r.feishu.cn/share/base/query/shrcnMqxwwRkV3NUIUxPeab3sec</t>
        </is>
      </c>
      <c r="F1178" t="inlineStr">
        <is>
          <t>请添加微信：k846211</t>
        </is>
      </c>
      <c r="G1178" t="inlineStr">
        <is>
          <t>2026-01-27</t>
        </is>
      </c>
    </row>
    <row r="1179" ht="25.5" customHeight="1">
      <c r="A1179" t="inlineStr">
        <is>
          <t>六年级下册课文仿写小练笔.pdf</t>
        </is>
      </c>
      <c r="B1179" s="2" t="str">
        <f>=HYPERLINK("https://pan.quark.cn/s/036825291b1e", "https://pan.quark.cn/s/036825291b1e")</f>
        <v>https://pan.quark.cn/s/036825291b1e</v>
      </c>
      <c r="C1179" t="inlineStr">
        <is>
          <t>10.9MB</t>
        </is>
      </c>
      <c r="D1179" t="inlineStr">
        <is>
          <t>/六年级下册/课文仿写/小练笔/写作练习/K12/学龄儿童家长</t>
        </is>
      </c>
      <c r="E1179" t="inlineStr">
        <is>
          <t>https://dcn8qexvg13r.feishu.cn/share/base/query/shrcnMqxwwRkV3NUIUxPeab3sec</t>
        </is>
      </c>
      <c r="F1179" t="inlineStr">
        <is>
          <t>请添加微信：k846211</t>
        </is>
      </c>
      <c r="G1179" t="inlineStr">
        <is>
          <t>2026-01-27</t>
        </is>
      </c>
    </row>
    <row r="1180" ht="25.5" customHeight="1">
      <c r="A1180" t="inlineStr">
        <is>
          <t>26版1-6年级下册课文仿写小练笔</t>
        </is>
      </c>
      <c r="B1180" s="2" t="str">
        <f>=HYPERLINK("https://pan.quark.cn/s/64c7abb55db9", "https://pan.quark.cn/s/64c7abb55db9")</f>
        <v>https://pan.quark.cn/s/64c7abb55db9</v>
      </c>
      <c r="C1180" t="inlineStr">
        <is>
          <t>110.2MB</t>
        </is>
      </c>
      <c r="D1180" t="inlineStr">
        <is>
          <t>/课文仿写/小练笔/1-6年级/语文/K12/学龄儿童家长</t>
        </is>
      </c>
      <c r="E1180" t="inlineStr">
        <is>
          <t>https://dcn8qexvg13r.feishu.cn/share/base/query/shrcnMqxwwRkV3NUIUxPeab3sec</t>
        </is>
      </c>
      <c r="F1180" t="inlineStr">
        <is>
          <t>请添加微信：k846211</t>
        </is>
      </c>
      <c r="G1180" t="inlineStr">
        <is>
          <t>2026-01-27</t>
        </is>
      </c>
    </row>
    <row r="1181" ht="25.5" customHeight="1">
      <c r="A1181" t="inlineStr">
        <is>
          <t>一年级（下）语文知识汇总(2).pdf</t>
        </is>
      </c>
      <c r="B1181" s="2" t="str">
        <f>=HYPERLINK("https://pan.quark.cn/s/b052cce213b8", "https://pan.quark.cn/s/b052cce213b8")</f>
        <v>https://pan.quark.cn/s/b052cce213b8</v>
      </c>
      <c r="C1181" t="inlineStr">
        <is>
          <t>40.7MB</t>
        </is>
      </c>
      <c r="D1181" t="inlineStr">
        <is>
          <t>/一年级语文/下册/知识汇总/语文学习/K12/学龄儿童家长</t>
        </is>
      </c>
      <c r="E1181" t="inlineStr">
        <is>
          <t>https://dcn8qexvg13r.feishu.cn/share/base/query/shrcnMqxwwRkV3NUIUxPeab3sec</t>
        </is>
      </c>
      <c r="F1181" t="inlineStr">
        <is>
          <t>请添加微信：k846211</t>
        </is>
      </c>
      <c r="G1181" t="inlineStr">
        <is>
          <t>2026-01-30</t>
        </is>
      </c>
    </row>
    <row r="1182" ht="25.5" customHeight="1">
      <c r="A1182" t="inlineStr">
        <is>
          <t>【2026春45页完整版】六年级（下）数学小升初总复习总归纳.pdf</t>
        </is>
      </c>
      <c r="B1182" s="2" t="str">
        <f>=HYPERLINK("https://pan.quark.cn/s/5d67b5ee9c8a", "https://pan.quark.cn/s/5d67b5ee9c8a")</f>
        <v>https://pan.quark.cn/s/5d67b5ee9c8a</v>
      </c>
      <c r="C1182" t="inlineStr">
        <is>
          <t>87.7MB</t>
        </is>
      </c>
      <c r="D1182" t="inlineStr">
        <is>
          <t>/六年级下册数学/小升初总复习/总归纳/K12/学龄儿童家长</t>
        </is>
      </c>
      <c r="E1182" t="inlineStr">
        <is>
          <t>https://dcn8qexvg13r.feishu.cn/share/base/query/shrcnMqxwwRkV3NUIUxPeab3sec</t>
        </is>
      </c>
      <c r="F1182" t="inlineStr">
        <is>
          <t>请添加微信：k846211</t>
        </is>
      </c>
      <c r="G1182" t="inlineStr">
        <is>
          <t>2026-01-30</t>
        </is>
      </c>
    </row>
    <row r="1183" ht="25.5" customHeight="1">
      <c r="A1183" t="inlineStr">
        <is>
          <t>2025版初中各科背记小纸条下册</t>
        </is>
      </c>
      <c r="B1183" s="2" t="str">
        <f>=HYPERLINK("https://pan.quark.cn/s/078ff656f541", "https://pan.quark.cn/s/078ff656f541")</f>
        <v>https://pan.quark.cn/s/078ff656f541</v>
      </c>
      <c r="C1183" t="inlineStr">
        <is>
          <t>3.1GB</t>
        </is>
      </c>
      <c r="D1183" t="inlineStr">
        <is>
          <t>/初中/下册/背记/小纸条/K12/学龄儿童家长</t>
        </is>
      </c>
      <c r="E1183" t="inlineStr">
        <is>
          <t>https://dcn8qexvg13r.feishu.cn/share/base/query/shrcnMqxwwRkV3NUIUxPeab3sec</t>
        </is>
      </c>
      <c r="F1183" t="inlineStr">
        <is>
          <t>请添加微信：k846211</t>
        </is>
      </c>
      <c r="G1183" t="inlineStr">
        <is>
          <t>2026-01-30</t>
        </is>
      </c>
    </row>
    <row r="1184" ht="25.5" customHeight="1">
      <c r="A1184" t="inlineStr">
        <is>
          <t>26春下册《写字表字帖》</t>
        </is>
      </c>
      <c r="B1184" s="2" t="str">
        <f>=HYPERLINK("https://pan.quark.cn/s/c577f10d9f0d", "https://pan.quark.cn/s/c577f10d9f0d")</f>
        <v>https://pan.quark.cn/s/c577f10d9f0d</v>
      </c>
      <c r="C1184" t="inlineStr">
        <is>
          <t>1.7GB</t>
        </is>
      </c>
      <c r="D1184" t="inlineStr">
        <is>
          <t>/写字/字帖/小学/春季下册/学龄儿童家长/K12</t>
        </is>
      </c>
      <c r="E1184" t="inlineStr">
        <is>
          <t>https://dcn8qexvg13r.feishu.cn/share/base/query/shrcnMqxwwRkV3NUIUxPeab3sec</t>
        </is>
      </c>
      <c r="F1184" t="inlineStr">
        <is>
          <t>请添加微信：k846211</t>
        </is>
      </c>
      <c r="G1184" t="inlineStr">
        <is>
          <t>2026-01-30</t>
        </is>
      </c>
    </row>
    <row r="1185" ht="25.5" customHeight="1">
      <c r="A1185" t="inlineStr">
        <is>
          <t>3221-一（上）数学一课一练同步练习(1).pdf</t>
        </is>
      </c>
      <c r="B1185" s="2" t="str">
        <f>=HYPERLINK("https://pan.quark.cn/s/fd21ffe7c417", "https://pan.quark.cn/s/fd21ffe7c417")</f>
        <v>https://pan.quark.cn/s/fd21ffe7c417</v>
      </c>
      <c r="C1185" t="inlineStr">
        <is>
          <t>24.9MB</t>
        </is>
      </c>
      <c r="D1185" t="inlineStr">
        <is>
          <t>/数学/一年级上册/同步练习/一课一练/K12/学龄儿童家长</t>
        </is>
      </c>
      <c r="E1185" t="inlineStr">
        <is>
          <t>https://dcn8qexvg13r.feishu.cn/share/base/query/shrcnMqxwwRkV3NUIUxPeab3sec</t>
        </is>
      </c>
      <c r="F1185" t="inlineStr">
        <is>
          <t>请添加微信：k846211</t>
        </is>
      </c>
      <c r="G1185" t="inlineStr">
        <is>
          <t>2026-01-30</t>
        </is>
      </c>
    </row>
    <row r="1186" ht="25.5" customHeight="1">
      <c r="A1186" t="inlineStr">
        <is>
          <t>北大阅读课 一年级（上册+下册）</t>
        </is>
      </c>
      <c r="B1186" s="2" t="str">
        <f>=HYPERLINK("https://pan.quark.cn/s/b39bd657480b", "https://pan.quark.cn/s/b39bd657480b")</f>
        <v>https://pan.quark.cn/s/b39bd657480b</v>
      </c>
      <c r="C1186" t="inlineStr">
        <is>
          <t>11.8GB</t>
        </is>
      </c>
      <c r="D1186" t="inlineStr">
        <is>
          <t>/北大/阅读课/一年级/上册/下册/K12/学龄儿童家长</t>
        </is>
      </c>
      <c r="E1186" t="inlineStr">
        <is>
          <t>https://dcn8qexvg13r.feishu.cn/share/base/query/shrcnMqxwwRkV3NUIUxPeab3sec</t>
        </is>
      </c>
      <c r="F1186" t="inlineStr">
        <is>
          <t>请添加微信：k846211</t>
        </is>
      </c>
      <c r="G1186" t="inlineStr">
        <is>
          <t>2026-01-30</t>
        </is>
      </c>
    </row>
    <row r="1187" ht="25.5" customHeight="1">
      <c r="A1187" t="inlineStr">
        <is>
          <t>北大阅读课 二年级（上册+下册）</t>
        </is>
      </c>
      <c r="B1187" s="2" t="str">
        <f>=HYPERLINK("https://pan.quark.cn/s/04e48d4b6199", "https://pan.quark.cn/s/04e48d4b6199")</f>
        <v>https://pan.quark.cn/s/04e48d4b6199</v>
      </c>
      <c r="C1187" t="inlineStr">
        <is>
          <t>13.0GB</t>
        </is>
      </c>
      <c r="D1187" t="inlineStr">
        <is>
          <t>/阅读教育/二年级/语文学习/北大课程/K12/学龄儿童家长</t>
        </is>
      </c>
      <c r="E1187" t="inlineStr">
        <is>
          <t>https://dcn8qexvg13r.feishu.cn/share/base/query/shrcnMqxwwRkV3NUIUxPeab3sec</t>
        </is>
      </c>
      <c r="F1187" t="inlineStr">
        <is>
          <t>请添加微信：k846211</t>
        </is>
      </c>
      <c r="G1187" t="inlineStr">
        <is>
          <t>2026-01-30</t>
        </is>
      </c>
    </row>
    <row r="1188" ht="25.5" customHeight="1">
      <c r="A1188" t="inlineStr">
        <is>
          <t>北大阅读课 三年级（上册+下册）</t>
        </is>
      </c>
      <c r="B1188" s="2" t="str">
        <f>=HYPERLINK("https://pan.quark.cn/s/a23e3f612388", "https://pan.quark.cn/s/a23e3f612388")</f>
        <v>https://pan.quark.cn/s/a23e3f612388</v>
      </c>
      <c r="C1188" t="inlineStr">
        <is>
          <t>14.3GB</t>
        </is>
      </c>
      <c r="D1188" t="inlineStr">
        <is>
          <t>/北大阅读课/三年级/阅读教育/上册+下册/K12/学龄儿童家长</t>
        </is>
      </c>
      <c r="E1188" t="inlineStr">
        <is>
          <t>https://dcn8qexvg13r.feishu.cn/share/base/query/shrcnMqxwwRkV3NUIUxPeab3sec</t>
        </is>
      </c>
      <c r="F1188" t="inlineStr">
        <is>
          <t>请添加微信：k846211</t>
        </is>
      </c>
      <c r="G1188" t="inlineStr">
        <is>
          <t>2026-01-30</t>
        </is>
      </c>
    </row>
    <row r="1189" ht="25.5" customHeight="1">
      <c r="A1189" t="inlineStr">
        <is>
          <t>北大阅读课 四年级（上册+下册）</t>
        </is>
      </c>
      <c r="B1189" s="2" t="str">
        <f>=HYPERLINK("https://pan.quark.cn/s/82b3831bbda4", "https://pan.quark.cn/s/82b3831bbda4")</f>
        <v>https://pan.quark.cn/s/82b3831bbda4</v>
      </c>
      <c r="C1189" t="inlineStr">
        <is>
          <t>16.0GB</t>
        </is>
      </c>
      <c r="D1189" t="inlineStr">
        <is>
          <t>/北大阅读课/四年级/阅读教育/语文学习/K12/学龄儿童家长</t>
        </is>
      </c>
      <c r="E1189" t="inlineStr">
        <is>
          <t>https://dcn8qexvg13r.feishu.cn/share/base/query/shrcnMqxwwRkV3NUIUxPeab3sec</t>
        </is>
      </c>
      <c r="F1189" t="inlineStr">
        <is>
          <t>请添加微信：k846211</t>
        </is>
      </c>
      <c r="G1189" t="inlineStr">
        <is>
          <t>2026-01-30</t>
        </is>
      </c>
    </row>
    <row r="1190" ht="25.5" customHeight="1">
      <c r="A1190" t="inlineStr">
        <is>
          <t>北大阅读课 五年级（上册+下册）</t>
        </is>
      </c>
      <c r="B1190" s="2" t="str">
        <f>=HYPERLINK("https://pan.quark.cn/s/9af869fcbdd9", "https://pan.quark.cn/s/9af869fcbdd9")</f>
        <v>https://pan.quark.cn/s/9af869fcbdd9</v>
      </c>
      <c r="C1190" t="inlineStr">
        <is>
          <t>12.3GB</t>
        </is>
      </c>
      <c r="D1190" t="inlineStr">
        <is>
          <t>/北大阅读/五年级/阅读课程/语文学习/K12/学龄儿童家长</t>
        </is>
      </c>
      <c r="E1190" t="inlineStr">
        <is>
          <t>https://dcn8qexvg13r.feishu.cn/share/base/query/shrcnMqxwwRkV3NUIUxPeab3sec</t>
        </is>
      </c>
      <c r="F1190" t="inlineStr">
        <is>
          <t>请添加微信：k846211</t>
        </is>
      </c>
      <c r="G1190" t="inlineStr">
        <is>
          <t>2026-01-30</t>
        </is>
      </c>
    </row>
    <row r="1191" ht="25.5" customHeight="1">
      <c r="A1191" t="inlineStr">
        <is>
          <t>北大阅读课 六年级（上册+下册）</t>
        </is>
      </c>
      <c r="B1191" s="2" t="str">
        <f>=HYPERLINK("https://pan.quark.cn/s/0af218cf5d38", "https://pan.quark.cn/s/0af218cf5d38")</f>
        <v>https://pan.quark.cn/s/0af218cf5d38</v>
      </c>
      <c r="C1191" t="inlineStr">
        <is>
          <t>11.4GB</t>
        </is>
      </c>
      <c r="D1191" t="inlineStr">
        <is>
          <t>/阅读/六年级/北大/教材/K12/学龄儿童家长</t>
        </is>
      </c>
      <c r="E1191" t="inlineStr">
        <is>
          <t>https://dcn8qexvg13r.feishu.cn/share/base/query/shrcnMqxwwRkV3NUIUxPeab3sec</t>
        </is>
      </c>
      <c r="F1191" t="inlineStr">
        <is>
          <t>请添加微信：k846211</t>
        </is>
      </c>
      <c r="G1191" t="inlineStr">
        <is>
          <t>2026-01-30</t>
        </is>
      </c>
    </row>
    <row r="1192" ht="25.5" customHeight="1">
      <c r="A1192" t="inlineStr">
        <is>
          <t>恶魔奶爸英语学习法·百万家长已验证｜听说读写突破技巧</t>
        </is>
      </c>
      <c r="B1192" s="2" t="str">
        <f>=HYPERLINK("https://pan.quark.cn/s/1ccd13b4ac3d", "https://pan.quark.cn/s/1ccd13b4ac3d")</f>
        <v>https://pan.quark.cn/s/1ccd13b4ac3d</v>
      </c>
      <c r="C1192" t="inlineStr">
        <is>
          <t>3.6GB</t>
        </is>
      </c>
      <c r="D1192" t="inlineStr">
        <is>
          <t>/恶魔奶爸英语学习法/英语突破技巧/听说读写/百万家长验证/宝妈/家长群体/学龄儿童家长</t>
        </is>
      </c>
      <c r="E1192" t="inlineStr">
        <is>
          <t>https://dcn8qexvg13r.feishu.cn/share/base/query/shrcnMqxwwRkV3NUIUxPeab3sec</t>
        </is>
      </c>
      <c r="F1192" t="inlineStr">
        <is>
          <t>请添加微信：k846211</t>
        </is>
      </c>
      <c r="G1192" t="inlineStr">
        <is>
          <t>2026-01-30</t>
        </is>
      </c>
    </row>
    <row r="1193" ht="25.5" customHeight="1">
      <c r="A1193" t="inlineStr">
        <is>
          <t>洋葱学院 小学数学 一年级（上册）</t>
        </is>
      </c>
      <c r="B1193" s="2" t="str">
        <f>=HYPERLINK("https://pan.quark.cn/s/a8b41ec7db4e", "https://pan.quark.cn/s/a8b41ec7db4e")</f>
        <v>https://pan.quark.cn/s/a8b41ec7db4e</v>
      </c>
      <c r="C1193" t="inlineStr">
        <is>
          <t>838.4MB</t>
        </is>
      </c>
      <c r="D1193" t="inlineStr">
        <is>
          <t>/小学数学/一年级上册/洋葱学院/K12/学龄儿童家长</t>
        </is>
      </c>
      <c r="E1193" t="inlineStr">
        <is>
          <t>https://dcn8qexvg13r.feishu.cn/share/base/query/shrcnMqxwwRkV3NUIUxPeab3sec</t>
        </is>
      </c>
      <c r="F1193" t="inlineStr">
        <is>
          <t>请添加微信：k846211</t>
        </is>
      </c>
      <c r="G1193" t="inlineStr">
        <is>
          <t>2026-01-30</t>
        </is>
      </c>
    </row>
    <row r="1194" ht="25.5" customHeight="1">
      <c r="A1194" t="inlineStr">
        <is>
          <t>洋葱学院 小学数学 二年级（上册）</t>
        </is>
      </c>
      <c r="B1194" s="2" t="str">
        <f>=HYPERLINK("https://pan.quark.cn/s/ce60135a7046", "https://pan.quark.cn/s/ce60135a7046")</f>
        <v>https://pan.quark.cn/s/ce60135a7046</v>
      </c>
      <c r="C1194" t="inlineStr">
        <is>
          <t>1.3GB</t>
        </is>
      </c>
      <c r="D1194" t="inlineStr">
        <is>
          <t>/小学数学/二年级上册/洋葱学院/K12/学龄儿童家长</t>
        </is>
      </c>
      <c r="E1194" t="inlineStr">
        <is>
          <t>https://dcn8qexvg13r.feishu.cn/share/base/query/shrcnMqxwwRkV3NUIUxPeab3sec</t>
        </is>
      </c>
      <c r="F1194" t="inlineStr">
        <is>
          <t>请添加微信：k846211</t>
        </is>
      </c>
      <c r="G1194" t="inlineStr">
        <is>
          <t>2026-01-30</t>
        </is>
      </c>
    </row>
    <row r="1195" ht="25.5" customHeight="1">
      <c r="A1195" t="inlineStr">
        <is>
          <t>洋葱学院 小学数学 三年级（上册）</t>
        </is>
      </c>
      <c r="B1195" s="2" t="str">
        <f>=HYPERLINK("https://pan.quark.cn/s/d7c77caaf592", "https://pan.quark.cn/s/d7c77caaf592")</f>
        <v>https://pan.quark.cn/s/d7c77caaf592</v>
      </c>
      <c r="C1195" t="inlineStr">
        <is>
          <t>2.8GB</t>
        </is>
      </c>
      <c r="D1195" t="inlineStr">
        <is>
          <t>/小学数学/三年级上册/洋葱学院/K12/学龄儿童家长</t>
        </is>
      </c>
      <c r="E1195" t="inlineStr">
        <is>
          <t>https://dcn8qexvg13r.feishu.cn/share/base/query/shrcnMqxwwRkV3NUIUxPeab3sec</t>
        </is>
      </c>
      <c r="F1195" t="inlineStr">
        <is>
          <t>请添加微信：k846211</t>
        </is>
      </c>
      <c r="G1195" t="inlineStr">
        <is>
          <t>2026-01-30</t>
        </is>
      </c>
    </row>
    <row r="1196" ht="25.5" customHeight="1">
      <c r="A1196" t="inlineStr">
        <is>
          <t>洋葱学院 小学数学 四年级（上册）</t>
        </is>
      </c>
      <c r="B1196" s="2" t="str">
        <f>=HYPERLINK("https://pan.quark.cn/s/c6897e370052", "https://pan.quark.cn/s/c6897e370052")</f>
        <v>https://pan.quark.cn/s/c6897e370052</v>
      </c>
      <c r="C1196" t="inlineStr">
        <is>
          <t>2.7GB</t>
        </is>
      </c>
      <c r="D1196" t="inlineStr">
        <is>
          <t>/小学数学/四年级上册/洋葱学院/K12/学龄儿童家长</t>
        </is>
      </c>
      <c r="E1196" t="inlineStr">
        <is>
          <t>https://dcn8qexvg13r.feishu.cn/share/base/query/shrcnMqxwwRkV3NUIUxPeab3sec</t>
        </is>
      </c>
      <c r="F1196" t="inlineStr">
        <is>
          <t>请添加微信：k846211</t>
        </is>
      </c>
      <c r="G1196" t="inlineStr">
        <is>
          <t>2026-01-30</t>
        </is>
      </c>
    </row>
    <row r="1197" ht="25.5" customHeight="1">
      <c r="A1197" t="inlineStr">
        <is>
          <t>洋葱学院 小学数学 五年级（上册）</t>
        </is>
      </c>
      <c r="B1197" s="2" t="str">
        <f>=HYPERLINK("https://pan.quark.cn/s/f0c6f2636bd9", "https://pan.quark.cn/s/f0c6f2636bd9")</f>
        <v>https://pan.quark.cn/s/f0c6f2636bd9</v>
      </c>
      <c r="C1197" t="inlineStr">
        <is>
          <t>2.8GB</t>
        </is>
      </c>
      <c r="D1197" t="inlineStr">
        <is>
          <t>/小学数学/五年级上册/洋葱学院/K12/学龄儿童家长</t>
        </is>
      </c>
      <c r="E1197" t="inlineStr">
        <is>
          <t>https://dcn8qexvg13r.feishu.cn/share/base/query/shrcnMqxwwRkV3NUIUxPeab3sec</t>
        </is>
      </c>
      <c r="F1197" t="inlineStr">
        <is>
          <t>请添加微信：k846211</t>
        </is>
      </c>
      <c r="G1197" t="inlineStr">
        <is>
          <t>2026-01-30</t>
        </is>
      </c>
    </row>
    <row r="1198" ht="25.5" customHeight="1">
      <c r="A1198" t="inlineStr">
        <is>
          <t>洋葱学院 小学数学 六年级（上册）</t>
        </is>
      </c>
      <c r="B1198" s="2" t="str">
        <f>=HYPERLINK("https://pan.quark.cn/s/f512d5549b5f", "https://pan.quark.cn/s/f512d5549b5f")</f>
        <v>https://pan.quark.cn/s/f512d5549b5f</v>
      </c>
      <c r="C1198" t="inlineStr">
        <is>
          <t>2.7GB</t>
        </is>
      </c>
      <c r="D1198" t="inlineStr">
        <is>
          <t>/小学数学/六年级上册/洋葱学院/K12/学龄儿童家长</t>
        </is>
      </c>
      <c r="E1198" t="inlineStr">
        <is>
          <t>https://dcn8qexvg13r.feishu.cn/share/base/query/shrcnMqxwwRkV3NUIUxPeab3sec</t>
        </is>
      </c>
      <c r="F1198" t="inlineStr">
        <is>
          <t>请添加微信：k846211</t>
        </is>
      </c>
      <c r="G1198" t="inlineStr">
        <is>
          <t>2026-01-30</t>
        </is>
      </c>
    </row>
    <row r="1199" ht="25.5" customHeight="1">
      <c r="A1199" t="inlineStr">
        <is>
          <t>1-6年级下册《预习资料包》</t>
        </is>
      </c>
      <c r="B1199" s="2" t="str">
        <f>=HYPERLINK("https://pan.quark.cn/s/8d6e591c74eb", "https://pan.quark.cn/s/8d6e591c74eb")</f>
        <v>https://pan.quark.cn/s/8d6e591c74eb</v>
      </c>
      <c r="C1199" t="inlineStr">
        <is>
          <t>15.1GB</t>
        </is>
      </c>
      <c r="D1199" t="inlineStr">
        <is>
          <t>/小学/下册/预习/学习辅助/K12/学龄儿童家长</t>
        </is>
      </c>
      <c r="E1199" t="inlineStr">
        <is>
          <t>https://dcn8qexvg13r.feishu.cn/share/base/query/shrcnMqxwwRkV3NUIUxPeab3sec</t>
        </is>
      </c>
      <c r="F1199" t="inlineStr">
        <is>
          <t>请添加微信：k846211</t>
        </is>
      </c>
      <c r="G1199" t="inlineStr">
        <is>
          <t>2026-01-30</t>
        </is>
      </c>
    </row>
    <row r="1200" ht="25.5" customHeight="1">
      <c r="A1200" t="inlineStr">
        <is>
          <t>一年级下册一类生字组词练字帖.pdf</t>
        </is>
      </c>
      <c r="B1200" s="2" t="str">
        <f>=HYPERLINK("https://pan.quark.cn/s/3aa2aa85e908", "https://pan.quark.cn/s/3aa2aa85e908")</f>
        <v>https://pan.quark.cn/s/3aa2aa85e908</v>
      </c>
      <c r="C1200" t="inlineStr">
        <is>
          <t>30.1MB</t>
        </is>
      </c>
      <c r="D1200" t="inlineStr">
        <is>
          <t>/一年级下册/一类生字/组词/练字帖/K12/学龄儿童家长</t>
        </is>
      </c>
      <c r="E1200" t="inlineStr">
        <is>
          <t>https://dcn8qexvg13r.feishu.cn/share/base/query/shrcnMqxwwRkV3NUIUxPeab3sec</t>
        </is>
      </c>
      <c r="F1200" t="inlineStr">
        <is>
          <t>请添加微信：k846211</t>
        </is>
      </c>
      <c r="G1200" t="inlineStr">
        <is>
          <t>2026-01-31</t>
        </is>
      </c>
    </row>
    <row r="1201" ht="25.5" customHeight="1">
      <c r="A1201" t="inlineStr">
        <is>
          <t>一年级(6)</t>
        </is>
      </c>
      <c r="B1201" s="2" t="str">
        <f>=HYPERLINK("https://pan.quark.cn/s/7b1e8efded10", "https://pan.quark.cn/s/7b1e8efded10")</f>
        <v>https://pan.quark.cn/s/7b1e8efded10</v>
      </c>
      <c r="C1201" t="inlineStr">
        <is>
          <t>272.8MB</t>
        </is>
      </c>
      <c r="D1201" t="inlineStr">
        <is>
          <t>/一年级/小学教育/学龄儿童/K12/学龄儿童家长</t>
        </is>
      </c>
      <c r="E1201" t="inlineStr">
        <is>
          <t>https://dcn8qexvg13r.feishu.cn/share/base/query/shrcnMqxwwRkV3NUIUxPeab3sec</t>
        </is>
      </c>
      <c r="F1201" t="inlineStr">
        <is>
          <t>请添加微信：k846211</t>
        </is>
      </c>
      <c r="G1201" t="inlineStr">
        <is>
          <t>2026-01-31</t>
        </is>
      </c>
    </row>
    <row r="1202" ht="25.5" customHeight="1">
      <c r="A1202" t="inlineStr">
        <is>
          <t>0119新一下语文寒假必背仿写句子（20页）.pdf</t>
        </is>
      </c>
      <c r="B1202" s="2" t="str">
        <f>=HYPERLINK("https://pan.quark.cn/s/3bf6169f4ed0", "https://pan.quark.cn/s/3bf6169f4ed0")</f>
        <v>https://pan.quark.cn/s/3bf6169f4ed0</v>
      </c>
      <c r="C1202" t="inlineStr">
        <is>
          <t>124.2MB</t>
        </is>
      </c>
      <c r="D1202" t="inlineStr">
        <is>
          <t>/新一下语文/寒假/必背/仿写句子/K12/学龄儿童家长</t>
        </is>
      </c>
      <c r="E1202" t="inlineStr">
        <is>
          <t>https://dcn8qexvg13r.feishu.cn/share/base/query/shrcnMqxwwRkV3NUIUxPeab3sec</t>
        </is>
      </c>
      <c r="F1202" t="inlineStr">
        <is>
          <t>请添加微信：k846211</t>
        </is>
      </c>
      <c r="G1202" t="inlineStr">
        <is>
          <t>2026-01-31</t>
        </is>
      </c>
    </row>
    <row r="1203" ht="25.5" customHeight="1">
      <c r="A1203" t="inlineStr">
        <is>
          <t>一年级(6)</t>
        </is>
      </c>
      <c r="B1203" s="2" t="str">
        <f>=HYPERLINK("https://pan.quark.cn/s/3d09f4a9a0be", "https://pan.quark.cn/s/3d09f4a9a0be")</f>
        <v>https://pan.quark.cn/s/3d09f4a9a0be</v>
      </c>
      <c r="C1203" t="inlineStr">
        <is>
          <t>272.8MB</t>
        </is>
      </c>
      <c r="D1203" t="inlineStr">
        <is>
          <t>/一年级/小学教育/学龄儿童/K12/学龄儿童家长</t>
        </is>
      </c>
      <c r="E1203" t="inlineStr">
        <is>
          <t>https://dcn8qexvg13r.feishu.cn/share/base/query/shrcnMqxwwRkV3NUIUxPeab3sec</t>
        </is>
      </c>
      <c r="F1203" t="inlineStr">
        <is>
          <t>请添加微信：k846211</t>
        </is>
      </c>
      <c r="G1203" t="inlineStr">
        <is>
          <t>2026-01-31</t>
        </is>
      </c>
    </row>
    <row r="1204" ht="25.5" customHeight="1">
      <c r="A1204" t="inlineStr">
        <is>
          <t>1-6下语文：习字格+方格+章法练习 字帖</t>
        </is>
      </c>
      <c r="B1204" s="2" t="str">
        <f>=HYPERLINK("https://pan.quark.cn/s/06801d4e996f", "https://pan.quark.cn/s/06801d4e996f")</f>
        <v>https://pan.quark.cn/s/06801d4e996f</v>
      </c>
      <c r="C1204" t="inlineStr">
        <is>
          <t>31.3MB</t>
        </is>
      </c>
      <c r="D1204" t="inlineStr">
        <is>
          <t>/语文/习字格/方格/章法练习/字帖/K12/学龄儿童家长</t>
        </is>
      </c>
      <c r="E1204" t="inlineStr">
        <is>
          <t>https://dcn8qexvg13r.feishu.cn/share/base/query/shrcnMqxwwRkV3NUIUxPeab3sec</t>
        </is>
      </c>
      <c r="F1204" t="inlineStr">
        <is>
          <t>请添加微信：k846211</t>
        </is>
      </c>
      <c r="G1204" t="inlineStr">
        <is>
          <t>2026-01-31</t>
        </is>
      </c>
    </row>
    <row r="1205" ht="25.5" customHeight="1">
      <c r="A1205" t="inlineStr">
        <is>
          <t>25春优翼小帮手RJ版.同步口算.六年级.下60.pdf</t>
        </is>
      </c>
      <c r="B1205" s="2" t="str">
        <f>=HYPERLINK("https://pan.quark.cn/s/7f28c3bcffaa", "https://pan.quark.cn/s/7f28c3bcffaa")</f>
        <v>https://pan.quark.cn/s/7f28c3bcffaa</v>
      </c>
      <c r="C1205" t="inlineStr">
        <is>
          <t>819.8MB</t>
        </is>
      </c>
      <c r="D1205" t="inlineStr">
        <is>
          <t>/六年级下册/同步口算/小学数学/RJ版/学龄儿童家长/K12</t>
        </is>
      </c>
      <c r="E1205" t="inlineStr">
        <is>
          <t>https://dcn8qexvg13r.feishu.cn/share/base/query/shrcnMqxwwRkV3NUIUxPeab3sec</t>
        </is>
      </c>
      <c r="F1205" t="inlineStr">
        <is>
          <t>请添加微信：k846211</t>
        </is>
      </c>
      <c r="G1205" t="inlineStr">
        <is>
          <t>2026-01-31</t>
        </is>
      </c>
    </row>
    <row r="1206" ht="25.5" customHeight="1">
      <c r="A1206" t="inlineStr">
        <is>
          <t>26春语文三下生字课课贴(1).pdf</t>
        </is>
      </c>
      <c r="B1206" s="2" t="str">
        <f>=HYPERLINK("https://pan.quark.cn/s/3a84d3e58f1d", "https://pan.quark.cn/s/3a84d3e58f1d")</f>
        <v>https://pan.quark.cn/s/3a84d3e58f1d</v>
      </c>
      <c r="C1206" t="inlineStr">
        <is>
          <t>26.8MB</t>
        </is>
      </c>
      <c r="D1206" t="inlineStr">
        <is>
          <t>/语文/三年级下册/生字/课课贴/K12/学龄儿童家长</t>
        </is>
      </c>
      <c r="E1206" t="inlineStr">
        <is>
          <t>https://dcn8qexvg13r.feishu.cn/share/base/query/shrcnMqxwwRkV3NUIUxPeab3sec</t>
        </is>
      </c>
      <c r="F1206" t="inlineStr">
        <is>
          <t>请添加微信：k846211</t>
        </is>
      </c>
      <c r="G1206" t="inlineStr">
        <is>
          <t>2026-01-31</t>
        </is>
      </c>
    </row>
    <row r="1207" ht="25.5" customHeight="1">
      <c r="A1207" t="inlineStr">
        <is>
          <t>0119新一下语文寒假必背仿写句子（20页）.pdf</t>
        </is>
      </c>
      <c r="B1207" s="2" t="str">
        <f>=HYPERLINK("https://pan.quark.cn/s/b8e52953e45f", "https://pan.quark.cn/s/b8e52953e45f")</f>
        <v>https://pan.quark.cn/s/b8e52953e45f</v>
      </c>
      <c r="C1207" t="inlineStr">
        <is>
          <t>124.2MB</t>
        </is>
      </c>
      <c r="D1207" t="inlineStr">
        <is>
          <t>/新一下语文/寒假必背/仿写句子/K12/学龄儿童家长</t>
        </is>
      </c>
      <c r="E1207" t="inlineStr">
        <is>
          <t>https://dcn8qexvg13r.feishu.cn/share/base/query/shrcnMqxwwRkV3NUIUxPeab3sec</t>
        </is>
      </c>
      <c r="F1207" t="inlineStr">
        <is>
          <t>请添加微信：k846211</t>
        </is>
      </c>
      <c r="G1207" t="inlineStr">
        <is>
          <t>2026-01-31</t>
        </is>
      </c>
    </row>
    <row r="1208" ht="25.5" customHeight="1">
      <c r="A1208" t="inlineStr">
        <is>
          <t>28天打卡音标学习彩色小纸条.</t>
        </is>
      </c>
      <c r="B1208" s="2" t="str">
        <f>=HYPERLINK("https://pan.quark.cn/s/c007fbfa02bd", "https://pan.quark.cn/s/c007fbfa02bd")</f>
        <v>https://pan.quark.cn/s/c007fbfa02bd</v>
      </c>
      <c r="C1208" t="inlineStr">
        <is>
          <t>46.3MB</t>
        </is>
      </c>
      <c r="D1208" t="inlineStr">
        <is>
          <t>/音标学习/打卡/28天/彩色小纸条/语言/K12</t>
        </is>
      </c>
      <c r="E1208" t="inlineStr">
        <is>
          <t>https://dcn8qexvg13r.feishu.cn/share/base/query/shrcnMqxwwRkV3NUIUxPeab3sec</t>
        </is>
      </c>
      <c r="F1208" t="inlineStr">
        <is>
          <t>请添加微信：k846211</t>
        </is>
      </c>
      <c r="G1208" t="inlineStr">
        <is>
          <t>2026-02-02</t>
        </is>
      </c>
    </row>
    <row r="1209" ht="25.5" customHeight="1">
      <c r="A1209" t="inlineStr">
        <is>
          <t>一年级</t>
        </is>
      </c>
      <c r="B1209" s="2" t="str">
        <f>=HYPERLINK("https://pan.quark.cn/s/6a4029b90dd1", "https://pan.quark.cn/s/6a4029b90dd1")</f>
        <v>https://pan.quark.cn/s/6a4029b90dd1</v>
      </c>
      <c r="C1209" t="inlineStr">
        <is>
          <t>3.6GB</t>
        </is>
      </c>
      <c r="D1209" t="inlineStr">
        <is>
          <t>/一年级/基础教育/学习辅导/学龄儿童家长/K12</t>
        </is>
      </c>
      <c r="E1209" t="inlineStr">
        <is>
          <t>https://dcn8qexvg13r.feishu.cn/share/base/query/shrcnMqxwwRkV3NUIUxPeab3sec</t>
        </is>
      </c>
      <c r="F1209" t="inlineStr">
        <is>
          <t>请添加微信：k846211</t>
        </is>
      </c>
      <c r="G1209" t="inlineStr">
        <is>
          <t>2026-02-02</t>
        </is>
      </c>
    </row>
    <row r="1210" ht="25.5" customHeight="1">
      <c r="A1210" t="inlineStr">
        <is>
          <t>【推荐】丁丁思维提升课</t>
        </is>
      </c>
      <c r="B1210" s="2" t="str">
        <f>=HYPERLINK("https://pan.quark.cn/s/37a2dac60344", "https://pan.quark.cn/s/37a2dac60344")</f>
        <v>https://pan.quark.cn/s/37a2dac60344</v>
      </c>
      <c r="C1210" t="inlineStr">
        <is>
          <t>83.0GB</t>
        </is>
      </c>
      <c r="D1210" t="inlineStr">
        <is>
          <t>/思维提升/课程/丁丁/学龄儿童家长/宝妈/家长群体</t>
        </is>
      </c>
      <c r="E1210" t="inlineStr">
        <is>
          <t>https://dcn8qexvg13r.feishu.cn/share/base/query/shrcnMqxwwRkV3NUIUxPeab3sec</t>
        </is>
      </c>
      <c r="F1210" t="inlineStr">
        <is>
          <t>请添加微信：k846211</t>
        </is>
      </c>
      <c r="G1210" t="inlineStr">
        <is>
          <t>2026-02-02</t>
        </is>
      </c>
    </row>
    <row r="1211" ht="25.5" customHeight="1">
      <c r="A1211" t="inlineStr">
        <is>
          <t>高斯  小学1-6年级奥数</t>
        </is>
      </c>
      <c r="B1211" s="2" t="str">
        <f>=HYPERLINK("https://pan.quark.cn/s/7051d39cf5bf", "https://pan.quark.cn/s/7051d39cf5bf")</f>
        <v>https://pan.quark.cn/s/7051d39cf5bf</v>
      </c>
      <c r="C1211" t="inlineStr">
        <is>
          <t>1.6GB</t>
        </is>
      </c>
      <c r="D1211" t="inlineStr">
        <is>
          <t>/奥数/小学教育/思维训练/高斯/学龄儿童家长/K12</t>
        </is>
      </c>
      <c r="E1211" t="inlineStr">
        <is>
          <t>https://dcn8qexvg13r.feishu.cn/share/base/query/shrcnMqxwwRkV3NUIUxPeab3sec</t>
        </is>
      </c>
      <c r="F1211" t="inlineStr">
        <is>
          <t>请添加微信：k846211</t>
        </is>
      </c>
      <c r="G1211" t="inlineStr">
        <is>
          <t>2026-02-02</t>
        </is>
      </c>
    </row>
    <row r="1212" ht="25.5" customHeight="1">
      <c r="A1212" t="inlineStr">
        <is>
          <t>华罗庚小学奥数精讲（3456年级全套）</t>
        </is>
      </c>
      <c r="B1212" s="2" t="str">
        <f>=HYPERLINK("https://pan.quark.cn/s/4b2f95b4efec", "https://pan.quark.cn/s/4b2f95b4efec")</f>
        <v>https://pan.quark.cn/s/4b2f95b4efec</v>
      </c>
      <c r="C1212" t="inlineStr">
        <is>
          <t>4.6GB</t>
        </is>
      </c>
      <c r="D1212" t="inlineStr">
        <is>
          <t>/华罗庚/小学奥数/精讲/3456年级/学龄儿童家长/K12</t>
        </is>
      </c>
      <c r="E1212" t="inlineStr">
        <is>
          <t>https://dcn8qexvg13r.feishu.cn/share/base/query/shrcnMqxwwRkV3NUIUxPeab3sec</t>
        </is>
      </c>
      <c r="F1212" t="inlineStr">
        <is>
          <t>请添加微信：k846211</t>
        </is>
      </c>
      <c r="G1212" t="inlineStr">
        <is>
          <t>2026-02-02</t>
        </is>
      </c>
    </row>
    <row r="1213" ht="25.5" customHeight="1">
      <c r="A1213" t="inlineStr">
        <is>
          <t>学而思奥数</t>
        </is>
      </c>
      <c r="B1213" s="2" t="str">
        <f>=HYPERLINK("https://pan.quark.cn/s/5dd80356d504", "https://pan.quark.cn/s/5dd80356d504")</f>
        <v>https://pan.quark.cn/s/5dd80356d504</v>
      </c>
      <c r="C1213" t="inlineStr">
        <is>
          <t>18.4GB</t>
        </is>
      </c>
      <c r="D1213" t="inlineStr">
        <is>
          <t>/奥数/学而思/数学思维/K12/学龄儿童家长</t>
        </is>
      </c>
      <c r="E1213" t="inlineStr">
        <is>
          <t>https://dcn8qexvg13r.feishu.cn/share/base/query/shrcnMqxwwRkV3NUIUxPeab3sec</t>
        </is>
      </c>
      <c r="F1213" t="inlineStr">
        <is>
          <t>请添加微信：k846211</t>
        </is>
      </c>
      <c r="G1213" t="inlineStr">
        <is>
          <t>2026-02-02</t>
        </is>
      </c>
    </row>
    <row r="1214" ht="25.5" customHeight="1">
      <c r="A1214" t="inlineStr">
        <is>
          <t>小学奥数举一反三 1-6年级 视频+题库</t>
        </is>
      </c>
      <c r="B1214" s="2" t="str">
        <f>=HYPERLINK("https://pan.quark.cn/s/9ccb537e94cc", "https://pan.quark.cn/s/9ccb537e94cc")</f>
        <v>https://pan.quark.cn/s/9ccb537e94cc</v>
      </c>
      <c r="C1214" t="inlineStr">
        <is>
          <t>71.2GB</t>
        </is>
      </c>
      <c r="D1214" t="inlineStr">
        <is>
          <t>/小学奥数/视频课程/题库/举一反三/学龄儿童家长/K12</t>
        </is>
      </c>
      <c r="E1214" t="inlineStr">
        <is>
          <t>https://dcn8qexvg13r.feishu.cn/share/base/query/shrcnMqxwwRkV3NUIUxPeab3sec</t>
        </is>
      </c>
      <c r="F1214" t="inlineStr">
        <is>
          <t>请添加微信：k846211</t>
        </is>
      </c>
      <c r="G1214" t="inlineStr">
        <is>
          <t>2026-02-02</t>
        </is>
      </c>
    </row>
    <row r="1215" ht="25.5" customHeight="1">
      <c r="A1215" t="inlineStr">
        <is>
          <t>宇神奥数课程合集</t>
        </is>
      </c>
      <c r="B1215" s="2" t="str">
        <f>=HYPERLINK("https://pan.quark.cn/s/7b3b8848f2e0", "https://pan.quark.cn/s/7b3b8848f2e0")</f>
        <v>https://pan.quark.cn/s/7b3b8848f2e0</v>
      </c>
      <c r="C1215" t="inlineStr">
        <is>
          <t>166.4GB</t>
        </is>
      </c>
      <c r="D1215" t="inlineStr">
        <is>
          <t>/奥数/课程/K12/学龄儿童家长</t>
        </is>
      </c>
      <c r="E1215" t="inlineStr">
        <is>
          <t>https://dcn8qexvg13r.feishu.cn/share/base/query/shrcnMqxwwRkV3NUIUxPeab3sec</t>
        </is>
      </c>
      <c r="F1215" t="inlineStr">
        <is>
          <t>请添加微信：k846211</t>
        </is>
      </c>
      <c r="G1215" t="inlineStr">
        <is>
          <t>2026-02-02</t>
        </is>
      </c>
    </row>
    <row r="1216" ht="25.5" customHeight="1">
      <c r="A1216" t="inlineStr">
        <is>
          <t>数学《五星学霸》北师 26春(3)</t>
        </is>
      </c>
      <c r="B1216" s="2" t="str">
        <f>=HYPERLINK("https://pan.quark.cn/s/b1b108b60a2e", "https://pan.quark.cn/s/b1b108b60a2e")</f>
        <v>https://pan.quark.cn/s/b1b108b60a2e</v>
      </c>
      <c r="C1216" t="inlineStr">
        <is>
          <t>650.1MB</t>
        </is>
      </c>
      <c r="D1216" t="inlineStr">
        <is>
          <t>/数学/北师版/教辅/五星学霸/K12/学龄儿童家长</t>
        </is>
      </c>
      <c r="E1216" t="inlineStr">
        <is>
          <t>https://dcn8qexvg13r.feishu.cn/share/base/query/shrcnMqxwwRkV3NUIUxPeab3sec</t>
        </is>
      </c>
      <c r="F1216" t="inlineStr">
        <is>
          <t>请添加微信：k846211</t>
        </is>
      </c>
      <c r="G1216" t="inlineStr">
        <is>
          <t>2026-02-03</t>
        </is>
      </c>
    </row>
    <row r="1217" ht="25.5" customHeight="1">
      <c r="A1217" t="inlineStr">
        <is>
          <t>数学《五星学霸》人教 26春(3)</t>
        </is>
      </c>
      <c r="B1217" s="2" t="str">
        <f>=HYPERLINK("https://pan.quark.cn/s/c46313bd760a", "https://pan.quark.cn/s/c46313bd760a")</f>
        <v>https://pan.quark.cn/s/c46313bd760a</v>
      </c>
      <c r="C1217" t="inlineStr">
        <is>
          <t>752.0MB</t>
        </is>
      </c>
      <c r="D1217" t="inlineStr">
        <is>
          <t>/数学/教辅/同步练习/五星学霸/K12/学龄儿童家长</t>
        </is>
      </c>
      <c r="E1217" t="inlineStr">
        <is>
          <t>https://dcn8qexvg13r.feishu.cn/share/base/query/shrcnMqxwwRkV3NUIUxPeab3sec</t>
        </is>
      </c>
      <c r="F1217" t="inlineStr">
        <is>
          <t>请添加微信：k846211</t>
        </is>
      </c>
      <c r="G1217" t="inlineStr">
        <is>
          <t>2026-02-03</t>
        </is>
      </c>
    </row>
    <row r="1218" ht="25.5" customHeight="1">
      <c r="A1218" t="inlineStr">
        <is>
          <t>数学《五星学霸》苏教 26春(3)</t>
        </is>
      </c>
      <c r="B1218" s="2" t="str">
        <f>=HYPERLINK("https://pan.quark.cn/s/e6f7e484a82f", "https://pan.quark.cn/s/e6f7e484a82f")</f>
        <v>https://pan.quark.cn/s/e6f7e484a82f</v>
      </c>
      <c r="C1218" t="inlineStr">
        <is>
          <t>737.8MB</t>
        </is>
      </c>
      <c r="D1218" t="inlineStr">
        <is>
          <t>/数学/苏教版/三年级/教辅/五星学霸/K12/学龄儿童家长</t>
        </is>
      </c>
      <c r="E1218" t="inlineStr">
        <is>
          <t>https://dcn8qexvg13r.feishu.cn/share/base/query/shrcnMqxwwRkV3NUIUxPeab3sec</t>
        </is>
      </c>
      <c r="F1218" t="inlineStr">
        <is>
          <t>请添加微信：k846211</t>
        </is>
      </c>
      <c r="G1218" t="inlineStr">
        <is>
          <t>2026-02-03</t>
        </is>
      </c>
    </row>
    <row r="1219" ht="25.5" customHeight="1">
      <c r="A1219" t="inlineStr">
        <is>
          <t>语文《五星学霸》26春(3)</t>
        </is>
      </c>
      <c r="B1219" s="2" t="str">
        <f>=HYPERLINK("https://pan.quark.cn/s/8265c40b3f85", "https://pan.quark.cn/s/8265c40b3f85")</f>
        <v>https://pan.quark.cn/s/8265c40b3f85</v>
      </c>
      <c r="C1219" t="inlineStr">
        <is>
          <t>1.2GB</t>
        </is>
      </c>
      <c r="D1219" t="inlineStr">
        <is>
          <t>/语文/五星学霸/教辅/26春/三年级/K12/学龄儿童家长</t>
        </is>
      </c>
      <c r="E1219" t="inlineStr">
        <is>
          <t>https://dcn8qexvg13r.feishu.cn/share/base/query/shrcnMqxwwRkV3NUIUxPeab3sec</t>
        </is>
      </c>
      <c r="F1219" t="inlineStr">
        <is>
          <t>请添加微信：k846211</t>
        </is>
      </c>
      <c r="G1219" t="inlineStr">
        <is>
          <t>2026-02-03</t>
        </is>
      </c>
    </row>
    <row r="1220" ht="25.5" customHeight="1">
      <c r="A1220" t="inlineStr">
        <is>
          <t>英语《五星学霸》人教 26春(3)</t>
        </is>
      </c>
      <c r="B1220" s="2" t="str">
        <f>=HYPERLINK("https://pan.quark.cn/s/cb32f3925518", "https://pan.quark.cn/s/cb32f3925518")</f>
        <v>https://pan.quark.cn/s/cb32f3925518</v>
      </c>
      <c r="C1220" t="inlineStr">
        <is>
          <t>1.0GB</t>
        </is>
      </c>
      <c r="D1220" t="inlineStr">
        <is>
          <t>/英语/教辅/五星学霸/人教/26春/3/K12/学龄儿童家长</t>
        </is>
      </c>
      <c r="E1220" t="inlineStr">
        <is>
          <t>https://dcn8qexvg13r.feishu.cn/share/base/query/shrcnMqxwwRkV3NUIUxPeab3sec</t>
        </is>
      </c>
      <c r="F1220" t="inlineStr">
        <is>
          <t>请添加微信：k846211</t>
        </is>
      </c>
      <c r="G1220" t="inlineStr">
        <is>
          <t>2026-02-03</t>
        </is>
      </c>
    </row>
    <row r="1221" ht="25.5" customHeight="1">
      <c r="A1221" t="inlineStr">
        <is>
          <t>26春五星学霸英语译林3-6下</t>
        </is>
      </c>
      <c r="B1221" s="2" t="str">
        <f>=HYPERLINK("https://pan.quark.cn/s/dd013f59c83e", "https://pan.quark.cn/s/dd013f59c83e")</f>
        <v>https://pan.quark.cn/s/dd013f59c83e</v>
      </c>
      <c r="C1221" t="inlineStr">
        <is>
          <t>1.3GB</t>
        </is>
      </c>
      <c r="D1221" t="inlineStr">
        <is>
          <t>/英语/译林版/小学3-6年级/教辅/K12/学龄儿童家长</t>
        </is>
      </c>
      <c r="E1221" t="inlineStr">
        <is>
          <t>https://dcn8qexvg13r.feishu.cn/share/base/query/shrcnMqxwwRkV3NUIUxPeab3sec</t>
        </is>
      </c>
      <c r="F1221" t="inlineStr">
        <is>
          <t>请添加微信：k846211</t>
        </is>
      </c>
      <c r="G1221" t="inlineStr">
        <is>
          <t>2026-02-03</t>
        </is>
      </c>
    </row>
    <row r="1222" ht="25.5" customHeight="1">
      <c r="A1222" t="inlineStr">
        <is>
          <t>💤洋葱数学七年级【完结】</t>
        </is>
      </c>
      <c r="B1222" s="2" t="str">
        <f>=HYPERLINK("https://pan.quark.cn/s/7ebdb422884a", "https://pan.quark.cn/s/7ebdb422884a")</f>
        <v>https://pan.quark.cn/s/7ebdb422884a</v>
      </c>
      <c r="C1222" t="inlineStr">
        <is>
          <t>3.3GB</t>
        </is>
      </c>
      <c r="D1222" t="inlineStr">
        <is>
          <t>/洋葱数学/七年级/数学学习/K12/学龄儿童家长</t>
        </is>
      </c>
      <c r="E1222" t="inlineStr">
        <is>
          <t>https://dcn8qexvg13r.feishu.cn/share/base/query/shrcnMqxwwRkV3NUIUxPeab3sec</t>
        </is>
      </c>
      <c r="F1222" t="inlineStr">
        <is>
          <t>请添加微信：k846211</t>
        </is>
      </c>
      <c r="G1222" t="inlineStr">
        <is>
          <t>2026-02-03</t>
        </is>
      </c>
    </row>
    <row r="1223" ht="25.5" customHeight="1">
      <c r="A1223" t="inlineStr">
        <is>
          <t>💤洋葱数学八年级【完结】</t>
        </is>
      </c>
      <c r="B1223" s="2" t="str">
        <f>=HYPERLINK("https://pan.quark.cn/s/b5c925854944", "https://pan.quark.cn/s/b5c925854944")</f>
        <v>https://pan.quark.cn/s/b5c925854944</v>
      </c>
      <c r="C1223" t="inlineStr">
        <is>
          <t>4.2GB</t>
        </is>
      </c>
      <c r="D1223" t="inlineStr">
        <is>
          <t>/洋葱数学/八年级/数学学习/课程/K12/学龄儿童家长</t>
        </is>
      </c>
      <c r="E1223" t="inlineStr">
        <is>
          <t>https://dcn8qexvg13r.feishu.cn/share/base/query/shrcnMqxwwRkV3NUIUxPeab3sec</t>
        </is>
      </c>
      <c r="F1223" t="inlineStr">
        <is>
          <t>请添加微信：k846211</t>
        </is>
      </c>
      <c r="G1223" t="inlineStr">
        <is>
          <t>2026-02-03</t>
        </is>
      </c>
    </row>
    <row r="1224" ht="25.5" customHeight="1">
      <c r="A1224" t="inlineStr">
        <is>
          <t>💤洋葱数学九年级【完结】</t>
        </is>
      </c>
      <c r="B1224" s="2" t="str">
        <f>=HYPERLINK("https://pan.quark.cn/s/c6b7782198b6", "https://pan.quark.cn/s/c6b7782198b6")</f>
        <v>https://pan.quark.cn/s/c6b7782198b6</v>
      </c>
      <c r="C1224" t="inlineStr">
        <is>
          <t>3.4GB</t>
        </is>
      </c>
      <c r="D1224" t="inlineStr">
        <is>
          <t>/洋葱数学/九年级/初中数学/学习资源/K12/学龄儿童家长</t>
        </is>
      </c>
      <c r="E1224" t="inlineStr">
        <is>
          <t>https://dcn8qexvg13r.feishu.cn/share/base/query/shrcnMqxwwRkV3NUIUxPeab3sec</t>
        </is>
      </c>
      <c r="F1224" t="inlineStr">
        <is>
          <t>请添加微信：k846211</t>
        </is>
      </c>
      <c r="G1224" t="inlineStr">
        <is>
          <t>2026-02-03</t>
        </is>
      </c>
    </row>
    <row r="1225" ht="25.5" customHeight="1">
      <c r="A1225" t="inlineStr">
        <is>
          <t>💤洋葱初中 数学基础知识完结</t>
        </is>
      </c>
      <c r="B1225" s="2" t="str">
        <f>=HYPERLINK("https://pan.quark.cn/s/7e7dc2271b40", "https://pan.quark.cn/s/7e7dc2271b40")</f>
        <v>https://pan.quark.cn/s/7e7dc2271b40</v>
      </c>
      <c r="C1225" t="inlineStr">
        <is>
          <t>6.2GB</t>
        </is>
      </c>
      <c r="D1225" t="inlineStr">
        <is>
          <t>/初中数学/基础知识/完结课程/K12/学龄儿童家长</t>
        </is>
      </c>
      <c r="E1225" t="inlineStr">
        <is>
          <t>https://dcn8qexvg13r.feishu.cn/share/base/query/shrcnMqxwwRkV3NUIUxPeab3sec</t>
        </is>
      </c>
      <c r="F1225" t="inlineStr">
        <is>
          <t>请添加微信：k846211</t>
        </is>
      </c>
      <c r="G1225" t="inlineStr">
        <is>
          <t>2026-02-03</t>
        </is>
      </c>
    </row>
    <row r="1226" ht="25.5" customHeight="1">
      <c r="A1226" t="inlineStr">
        <is>
          <t>💤洋葱初中 中考数学一轮二轮</t>
        </is>
      </c>
      <c r="B1226" s="2" t="str">
        <f>=HYPERLINK("https://pan.quark.cn/s/9aed9d81c5c8", "https://pan.quark.cn/s/9aed9d81c5c8")</f>
        <v>https://pan.quark.cn/s/9aed9d81c5c8</v>
      </c>
      <c r="C1226" t="inlineStr">
        <is>
          <t>8.9GB</t>
        </is>
      </c>
      <c r="D1226" t="inlineStr">
        <is>
          <t>/初中数学/中考/一轮复习/二轮复习/K12/学龄儿童家长</t>
        </is>
      </c>
      <c r="E1226" t="inlineStr">
        <is>
          <t>https://dcn8qexvg13r.feishu.cn/share/base/query/shrcnMqxwwRkV3NUIUxPeab3sec</t>
        </is>
      </c>
      <c r="F1226" t="inlineStr">
        <is>
          <t>请添加微信：k846211</t>
        </is>
      </c>
      <c r="G1226" t="inlineStr">
        <is>
          <t>2026-02-03</t>
        </is>
      </c>
    </row>
    <row r="1227" ht="25.5" customHeight="1">
      <c r="A1227" t="inlineStr">
        <is>
          <t>💤洋葱数学-新版课程</t>
        </is>
      </c>
      <c r="B1227" s="2" t="str">
        <f>=HYPERLINK("https://pan.quark.cn/s/153f41dbd7c7", "https://pan.quark.cn/s/153f41dbd7c7")</f>
        <v>https://pan.quark.cn/s/153f41dbd7c7</v>
      </c>
      <c r="C1227" t="inlineStr">
        <is>
          <t>5.9GB</t>
        </is>
      </c>
      <c r="D1227" t="inlineStr">
        <is>
          <t>/数学/课程/洋葱数学/新版/K12/学龄儿童家长</t>
        </is>
      </c>
      <c r="E1227" t="inlineStr">
        <is>
          <t>https://dcn8qexvg13r.feishu.cn/share/base/query/shrcnMqxwwRkV3NUIUxPeab3sec</t>
        </is>
      </c>
      <c r="F1227" t="inlineStr">
        <is>
          <t>请添加微信：k846211</t>
        </is>
      </c>
      <c r="G1227" t="inlineStr">
        <is>
          <t>2026-02-03</t>
        </is>
      </c>
    </row>
    <row r="1228" ht="25.5" customHeight="1">
      <c r="A1228" t="inlineStr">
        <is>
          <t>1-6年级数学下册人教版26春《一本预备》</t>
        </is>
      </c>
      <c r="B1228" s="2" t="str">
        <f>=HYPERLINK("https://pan.quark.cn/s/57638b5347f5", "https://pan.quark.cn/s/57638b5347f5")</f>
        <v>https://pan.quark.cn/s/57638b5347f5</v>
      </c>
      <c r="C1228" t="inlineStr">
        <is>
          <t>316.6MB</t>
        </is>
      </c>
      <c r="D1228" t="inlineStr">
        <is>
          <t>/小学数学/人教版/下册/预备学习/K12/学龄儿童家长</t>
        </is>
      </c>
      <c r="E1228" t="inlineStr">
        <is>
          <t>https://dcn8qexvg13r.feishu.cn/share/base/query/shrcnMqxwwRkV3NUIUxPeab3sec</t>
        </is>
      </c>
      <c r="F1228" t="inlineStr">
        <is>
          <t>请添加微信：k846211</t>
        </is>
      </c>
      <c r="G1228" t="inlineStr">
        <is>
          <t>2026-02-03</t>
        </is>
      </c>
    </row>
    <row r="1229" ht="25.5" customHeight="1">
      <c r="A1229" t="inlineStr">
        <is>
          <t>寒假小四门视频</t>
        </is>
      </c>
      <c r="B1229" s="2" t="str">
        <f>=HYPERLINK("https://pan.quark.cn/s/fa6150ddbd9b", "https://pan.quark.cn/s/fa6150ddbd9b")</f>
        <v>https://pan.quark.cn/s/fa6150ddbd9b</v>
      </c>
      <c r="C1229" t="inlineStr">
        <is>
          <t>103.2GB</t>
        </is>
      </c>
      <c r="D1229" t="inlineStr">
        <is>
          <t>/寒假/小四门/视频/学习/K12/学龄儿童家长</t>
        </is>
      </c>
      <c r="E1229" t="inlineStr">
        <is>
          <t>https://dcn8qexvg13r.feishu.cn/share/base/query/shrcnMqxwwRkV3NUIUxPeab3sec</t>
        </is>
      </c>
      <c r="F1229" t="inlineStr">
        <is>
          <t>请添加微信：k846211</t>
        </is>
      </c>
      <c r="G1229" t="inlineStr">
        <is>
          <t>2026-02-03</t>
        </is>
      </c>
    </row>
    <row r="1230" ht="25.5" customHeight="1">
      <c r="A1230" t="inlineStr">
        <is>
          <t>26版1-6年级下册课文仿写小练笔(1)</t>
        </is>
      </c>
      <c r="B1230" s="2" t="str">
        <f>=HYPERLINK("https://pan.quark.cn/s/62515c0409a7", "https://pan.quark.cn/s/62515c0409a7")</f>
        <v>https://pan.quark.cn/s/62515c0409a7</v>
      </c>
      <c r="C1230" t="inlineStr">
        <is>
          <t>110.2MB</t>
        </is>
      </c>
      <c r="D1230" t="inlineStr">
        <is>
          <t>/课文仿写/小练笔/1-6年级/下册/K12/学龄儿童家长</t>
        </is>
      </c>
      <c r="E1230" t="inlineStr">
        <is>
          <t>https://dcn8qexvg13r.feishu.cn/share/base/query/shrcnMqxwwRkV3NUIUxPeab3sec</t>
        </is>
      </c>
      <c r="F1230" t="inlineStr">
        <is>
          <t>请添加微信：k846211</t>
        </is>
      </c>
      <c r="G1230" t="inlineStr">
        <is>
          <t>2026-02-04</t>
        </is>
      </c>
    </row>
    <row r="1231" ht="25.5" customHeight="1">
      <c r="A1231" t="inlineStr">
        <is>
          <t>1-6年级（下）数学寒假知识汇总</t>
        </is>
      </c>
      <c r="B1231" s="2" t="str">
        <f>=HYPERLINK("https://pan.quark.cn/s/088f6ef4fa56", "https://pan.quark.cn/s/088f6ef4fa56")</f>
        <v>https://pan.quark.cn/s/088f6ef4fa56</v>
      </c>
      <c r="C1231" t="inlineStr">
        <is>
          <t>50.0MB</t>
        </is>
      </c>
      <c r="D1231" t="inlineStr">
        <is>
          <t>/小学数学/寒假/知识汇总/数学知识/K12/学龄儿童家长</t>
        </is>
      </c>
      <c r="E1231" t="inlineStr">
        <is>
          <t>https://dcn8qexvg13r.feishu.cn/share/base/query/shrcnMqxwwRkV3NUIUxPeab3sec</t>
        </is>
      </c>
      <c r="F1231" t="inlineStr">
        <is>
          <t>请添加微信：k846211</t>
        </is>
      </c>
      <c r="G1231" t="inlineStr">
        <is>
          <t>2026-02-04</t>
        </is>
      </c>
    </row>
    <row r="1232" ht="25.5" customHeight="1">
      <c r="A1232" t="inlineStr">
        <is>
          <t>1-6年级（下）语文寒假知识汇总(1)</t>
        </is>
      </c>
      <c r="B1232" s="2" t="str">
        <f>=HYPERLINK("https://pan.quark.cn/s/5c4ecd8dca23", "https://pan.quark.cn/s/5c4ecd8dca23")</f>
        <v>https://pan.quark.cn/s/5c4ecd8dca23</v>
      </c>
      <c r="C1232" t="inlineStr">
        <is>
          <t>56.2MB</t>
        </is>
      </c>
      <c r="D1232" t="inlineStr">
        <is>
          <t>/语文/寒假知识/小学/知识汇总/K12/学龄儿童家长</t>
        </is>
      </c>
      <c r="E1232" t="inlineStr">
        <is>
          <t>https://dcn8qexvg13r.feishu.cn/share/base/query/shrcnMqxwwRkV3NUIUxPeab3sec</t>
        </is>
      </c>
      <c r="F1232" t="inlineStr">
        <is>
          <t>请添加微信：k846211</t>
        </is>
      </c>
      <c r="G1232" t="inlineStr">
        <is>
          <t>2026-02-04</t>
        </is>
      </c>
    </row>
    <row r="1233" ht="25.5" customHeight="1">
      <c r="A1233" t="inlineStr">
        <is>
          <t>🔥26春1-6年级下册语文《仿写句子读背版》</t>
        </is>
      </c>
      <c r="B1233" s="2" t="str">
        <f>=HYPERLINK("https://pan.quark.cn/s/71a2cc784b5c", "https://pan.quark.cn/s/71a2cc784b5c")</f>
        <v>https://pan.quark.cn/s/71a2cc784b5c</v>
      </c>
      <c r="C1233" t="inlineStr">
        <is>
          <t>28.5MB</t>
        </is>
      </c>
      <c r="D1233" t="inlineStr">
        <is>
          <t>/仿写句子/小学语文/读背版/1-6年级/学龄儿童家长/K12</t>
        </is>
      </c>
      <c r="E1233" t="inlineStr">
        <is>
          <t>https://dcn8qexvg13r.feishu.cn/share/base/query/shrcnMqxwwRkV3NUIUxPeab3sec</t>
        </is>
      </c>
      <c r="F1233" t="inlineStr">
        <is>
          <t>请添加微信：k846211</t>
        </is>
      </c>
      <c r="G1233" t="inlineStr">
        <is>
          <t>2026-02-04</t>
        </is>
      </c>
    </row>
    <row r="1234" ht="25.5" customHeight="1">
      <c r="A1234" t="inlineStr">
        <is>
          <t>0503六年级（下）英语全册课文基础语句默写(3).pdf</t>
        </is>
      </c>
      <c r="B1234" s="2" t="str">
        <f>=HYPERLINK("https://pan.quark.cn/s/fe6b31074d04", "https://pan.quark.cn/s/fe6b31074d04")</f>
        <v>https://pan.quark.cn/s/fe6b31074d04</v>
      </c>
      <c r="C1234" t="inlineStr">
        <is>
          <t>8.3MB</t>
        </is>
      </c>
      <c r="D1234" t="inlineStr">
        <is>
          <t>/六年级英语/课文默写/基础语句/英语学习/K12/学龄儿童家长</t>
        </is>
      </c>
      <c r="E1234" t="inlineStr">
        <is>
          <t>https://dcn8qexvg13r.feishu.cn/share/base/query/shrcnMqxwwRkV3NUIUxPeab3sec</t>
        </is>
      </c>
      <c r="F1234" t="inlineStr">
        <is>
          <t>请添加微信：k846211</t>
        </is>
      </c>
      <c r="G1234" t="inlineStr">
        <is>
          <t>2026-02-05</t>
        </is>
      </c>
    </row>
    <row r="1235" ht="25.5" customHeight="1">
      <c r="A1235" t="inlineStr">
        <is>
          <t>初中数理化专项类教辅合集！适合各层次学生【422G】</t>
        </is>
      </c>
      <c r="B1235" s="2" t="str">
        <f>=HYPERLINK("https://pan.quark.cn/s/d2111d739087", "https://pan.quark.cn/s/d2111d739087")</f>
        <v>https://pan.quark.cn/s/d2111d739087</v>
      </c>
      <c r="C1235" t="inlineStr">
        <is>
          <t>422.6GB</t>
        </is>
      </c>
      <c r="D1235" t="inlineStr">
        <is>
          <t>/初中数理化/专项教辅/各层次学生/教辅资料/K12/学龄儿童家长</t>
        </is>
      </c>
      <c r="E1235" t="inlineStr">
        <is>
          <t>https://dcn8qexvg13r.feishu.cn/share/base/query/shrcnMqxwwRkV3NUIUxPeab3sec</t>
        </is>
      </c>
      <c r="F1235" t="inlineStr">
        <is>
          <t>请添加微信：k846211</t>
        </is>
      </c>
      <c r="G1235" t="inlineStr">
        <is>
          <t>2026-02-06</t>
        </is>
      </c>
    </row>
    <row r="1236" ht="25.5" customHeight="1">
      <c r="A1236" t="inlineStr">
        <is>
          <t>高途课堂+名师到家  1-6年级资源合集【287.5G】</t>
        </is>
      </c>
      <c r="B1236" s="2" t="str">
        <f>=HYPERLINK("https://pan.quark.cn/s/866a48cd4ed6", "https://pan.quark.cn/s/866a48cd4ed6")</f>
        <v>https://pan.quark.cn/s/866a48cd4ed6</v>
      </c>
      <c r="C1236" t="inlineStr">
        <is>
          <t>287.5GB</t>
        </is>
      </c>
      <c r="D1236" t="inlineStr">
        <is>
          <t>/高途课堂/名师到家/1-6年级/K12/学龄儿童家长</t>
        </is>
      </c>
      <c r="E1236" t="inlineStr">
        <is>
          <t>https://dcn8qexvg13r.feishu.cn/share/base/query/shrcnMqxwwRkV3NUIUxPeab3sec</t>
        </is>
      </c>
      <c r="F1236" t="inlineStr">
        <is>
          <t>请添加微信：k846211</t>
        </is>
      </c>
      <c r="G1236" t="inlineStr">
        <is>
          <t>2026-02-06</t>
        </is>
      </c>
    </row>
    <row r="1237" ht="25.5" customHeight="1">
      <c r="A1237" t="inlineStr">
        <is>
          <t>【名师到家】视频课 1年级(1)</t>
        </is>
      </c>
      <c r="B1237" s="2" t="str">
        <f>=HYPERLINK("https://pan.quark.cn/s/64d4f0077bb2", "https://pan.quark.cn/s/64d4f0077bb2")</f>
        <v>https://pan.quark.cn/s/64d4f0077bb2</v>
      </c>
      <c r="C1237" t="inlineStr">
        <is>
          <t>5.2GB</t>
        </is>
      </c>
      <c r="D1237" t="inlineStr">
        <is>
          <t>/名师/视频课/1年级/K12/学龄儿童家长</t>
        </is>
      </c>
      <c r="E1237" t="inlineStr">
        <is>
          <t>https://dcn8qexvg13r.feishu.cn/share/base/query/shrcnMqxwwRkV3NUIUxPeab3sec</t>
        </is>
      </c>
      <c r="F1237" t="inlineStr">
        <is>
          <t>请添加微信：k846211</t>
        </is>
      </c>
      <c r="G1237" t="inlineStr">
        <is>
          <t>2026-02-06</t>
        </is>
      </c>
    </row>
    <row r="1238" ht="25.5" customHeight="1">
      <c r="A1238" t="inlineStr">
        <is>
          <t>【名师到家】视频课 2年级(1)</t>
        </is>
      </c>
      <c r="B1238" s="2" t="str">
        <f>=HYPERLINK("https://pan.quark.cn/s/9852bc397357", "https://pan.quark.cn/s/9852bc397357")</f>
        <v>https://pan.quark.cn/s/9852bc397357</v>
      </c>
      <c r="C1238" t="inlineStr">
        <is>
          <t>4.5GB</t>
        </is>
      </c>
      <c r="D1238" t="inlineStr">
        <is>
          <t>/名师到家/视频课/2年级/K12/学龄儿童家长</t>
        </is>
      </c>
      <c r="E1238" t="inlineStr">
        <is>
          <t>https://dcn8qexvg13r.feishu.cn/share/base/query/shrcnMqxwwRkV3NUIUxPeab3sec</t>
        </is>
      </c>
      <c r="F1238" t="inlineStr">
        <is>
          <t>请添加微信：k846211</t>
        </is>
      </c>
      <c r="G1238" t="inlineStr">
        <is>
          <t>2026-02-06</t>
        </is>
      </c>
    </row>
    <row r="1239" ht="25.5" customHeight="1">
      <c r="A1239" t="inlineStr">
        <is>
          <t>【名师到家】视频课 3年级(1)</t>
        </is>
      </c>
      <c r="B1239" s="2" t="str">
        <f>=HYPERLINK("https://pan.quark.cn/s/45040ef2426d", "https://pan.quark.cn/s/45040ef2426d")</f>
        <v>https://pan.quark.cn/s/45040ef2426d</v>
      </c>
      <c r="C1239" t="inlineStr">
        <is>
          <t>3.4GB</t>
        </is>
      </c>
      <c r="D1239" t="inlineStr">
        <is>
          <t>/名师到家/视频课/3年级/K12/学龄儿童家长</t>
        </is>
      </c>
      <c r="E1239" t="inlineStr">
        <is>
          <t>https://dcn8qexvg13r.feishu.cn/share/base/query/shrcnMqxwwRkV3NUIUxPeab3sec</t>
        </is>
      </c>
      <c r="F1239" t="inlineStr">
        <is>
          <t>请添加微信：k846211</t>
        </is>
      </c>
      <c r="G1239" t="inlineStr">
        <is>
          <t>2026-02-06</t>
        </is>
      </c>
    </row>
    <row r="1240" ht="25.5" customHeight="1">
      <c r="A1240" t="inlineStr">
        <is>
          <t>【名师到家】视频课 4年级(1)</t>
        </is>
      </c>
      <c r="B1240" s="2" t="str">
        <f>=HYPERLINK("https://pan.quark.cn/s/f02d08774e95", "https://pan.quark.cn/s/f02d08774e95")</f>
        <v>https://pan.quark.cn/s/f02d08774e95</v>
      </c>
      <c r="C1240" t="inlineStr">
        <is>
          <t>4.2GB</t>
        </is>
      </c>
      <c r="D1240" t="inlineStr">
        <is>
          <t>/名师到家/视频课/四年级/K12/学龄儿童家长</t>
        </is>
      </c>
      <c r="E1240" t="inlineStr">
        <is>
          <t>https://dcn8qexvg13r.feishu.cn/share/base/query/shrcnMqxwwRkV3NUIUxPeab3sec</t>
        </is>
      </c>
      <c r="F1240" t="inlineStr">
        <is>
          <t>请添加微信：k846211</t>
        </is>
      </c>
      <c r="G1240" t="inlineStr">
        <is>
          <t>2026-02-06</t>
        </is>
      </c>
    </row>
    <row r="1241" ht="25.5" customHeight="1">
      <c r="A1241" t="inlineStr">
        <is>
          <t>【名师到家】视频课 5年级(1)</t>
        </is>
      </c>
      <c r="B1241" s="2" t="str">
        <f>=HYPERLINK("https://pan.quark.cn/s/b2960e26a9e5", "https://pan.quark.cn/s/b2960e26a9e5")</f>
        <v>https://pan.quark.cn/s/b2960e26a9e5</v>
      </c>
      <c r="C1241" t="inlineStr">
        <is>
          <t>4.3GB</t>
        </is>
      </c>
      <c r="D1241" t="inlineStr">
        <is>
          <t>/名师/视频课/五年级/K12/学龄儿童家长</t>
        </is>
      </c>
      <c r="E1241" t="inlineStr">
        <is>
          <t>https://dcn8qexvg13r.feishu.cn/share/base/query/shrcnMqxwwRkV3NUIUxPeab3sec</t>
        </is>
      </c>
      <c r="F1241" t="inlineStr">
        <is>
          <t>请添加微信：k846211</t>
        </is>
      </c>
      <c r="G1241" t="inlineStr">
        <is>
          <t>2026-02-06</t>
        </is>
      </c>
    </row>
    <row r="1242" ht="25.5" customHeight="1">
      <c r="A1242" t="inlineStr">
        <is>
          <t>【名师到家】视频课6年级(1)</t>
        </is>
      </c>
      <c r="B1242" s="2" t="str">
        <f>=HYPERLINK("https://pan.quark.cn/s/c40f21dc7c3b", "https://pan.quark.cn/s/c40f21dc7c3b")</f>
        <v>https://pan.quark.cn/s/c40f21dc7c3b</v>
      </c>
      <c r="C1242" t="inlineStr">
        <is>
          <t>5.5GB</t>
        </is>
      </c>
      <c r="D1242" t="inlineStr">
        <is>
          <t>/名师/视频课/6年级/K12/学龄儿童家长</t>
        </is>
      </c>
      <c r="E1242" t="inlineStr">
        <is>
          <t>https://dcn8qexvg13r.feishu.cn/share/base/query/shrcnMqxwwRkV3NUIUxPeab3sec</t>
        </is>
      </c>
      <c r="F1242" t="inlineStr">
        <is>
          <t>请添加微信：k846211</t>
        </is>
      </c>
      <c r="G1242" t="inlineStr">
        <is>
          <t>2026-02-06</t>
        </is>
      </c>
    </row>
    <row r="1243" ht="25.5" customHeight="1">
      <c r="A1243" t="inlineStr">
        <is>
          <t>双人成行 v20250102 官方中文 支持手柄 It Takes Two  44GB</t>
        </is>
      </c>
      <c r="B1243" s="2" t="str">
        <f>=HYPERLINK("https://pan.quark.cn/s/e3b6314e5b3f", "https://pan.quark.cn/s/e3b6314e5b3f")</f>
        <v>https://pan.quark.cn/s/e3b6314e5b3f</v>
      </c>
      <c r="C1243" t="inlineStr">
        <is>
          <t>43.6GB</t>
        </is>
      </c>
      <c r="D1243" t="inlineStr">
        <is>
          <t>/双人成行/官方中文/手柄支持/44GB/游戏</t>
        </is>
      </c>
      <c r="E1243" t="inlineStr">
        <is>
          <t>https://dcn8qexvg13r.feishu.cn/share/base/query/shrcnMqxwwRkV3NUIUxPeab3sec</t>
        </is>
      </c>
      <c r="F1243" t="inlineStr">
        <is>
          <t>请添加微信：k846211</t>
        </is>
      </c>
      <c r="G1243" t="inlineStr">
        <is>
          <t>2026-02-06</t>
        </is>
      </c>
    </row>
    <row r="1244" ht="25.5" customHeight="1">
      <c r="A1244" t="inlineStr">
        <is>
          <t>0-9开头的游戏</t>
        </is>
      </c>
      <c r="B1244" s="2" t="str">
        <f>=HYPERLINK("https://pan.quark.cn/s/2f5ac48dee8f", "https://pan.quark.cn/s/2f5ac48dee8f")</f>
        <v>https://pan.quark.cn/s/2f5ac48dee8f</v>
      </c>
      <c r="C1244" t="inlineStr">
        <is>
          <t>2.1GB</t>
        </is>
      </c>
      <c r="D1244" t="inlineStr">
        <is>
          <t>/0-9/数字开头/游戏/游戏/游戏</t>
        </is>
      </c>
      <c r="E1244" t="inlineStr">
        <is>
          <t>https://dcn8qexvg13r.feishu.cn/share/base/query/shrcnMqxwwRkV3NUIUxPeab3sec</t>
        </is>
      </c>
      <c r="F1244" t="inlineStr">
        <is>
          <t>请添加微信：k846211</t>
        </is>
      </c>
      <c r="G1244" t="inlineStr">
        <is>
          <t>2026-02-06</t>
        </is>
      </c>
    </row>
    <row r="1245" ht="25.5" customHeight="1">
      <c r="A1245" t="inlineStr">
        <is>
          <t>A开头的游戏</t>
        </is>
      </c>
      <c r="B1245" s="2" t="str">
        <f>=HYPERLINK("https://pan.quark.cn/s/b2ff67100477", "https://pan.quark.cn/s/b2ff67100477")</f>
        <v>https://pan.quark.cn/s/b2ff67100477</v>
      </c>
      <c r="C1245" t="inlineStr">
        <is>
          <t>335.0GB</t>
        </is>
      </c>
      <c r="D1245" t="inlineStr">
        <is>
          <t>/A开头/游戏/游戏资源/游戏爱好者/游戏</t>
        </is>
      </c>
      <c r="E1245" t="inlineStr">
        <is>
          <t>https://dcn8qexvg13r.feishu.cn/share/base/query/shrcnMqxwwRkV3NUIUxPeab3sec</t>
        </is>
      </c>
      <c r="F1245" t="inlineStr">
        <is>
          <t>请添加微信：k846211</t>
        </is>
      </c>
      <c r="G1245" t="inlineStr">
        <is>
          <t>2026-02-06</t>
        </is>
      </c>
    </row>
    <row r="1246" ht="25.5" customHeight="1">
      <c r="A1246" t="inlineStr">
        <is>
          <t>B开头的游戏</t>
        </is>
      </c>
      <c r="B1246" s="2" t="str">
        <f>=HYPERLINK("https://pan.quark.cn/s/d7015989b253", "https://pan.quark.cn/s/d7015989b253")</f>
        <v>https://pan.quark.cn/s/d7015989b253</v>
      </c>
      <c r="C1246" t="inlineStr">
        <is>
          <t>0B</t>
        </is>
      </c>
      <c r="D1246" t="inlineStr">
        <is>
          <t>/游戏/B开头/娱乐/休闲/游戏</t>
        </is>
      </c>
      <c r="E1246" t="inlineStr">
        <is>
          <t>https://dcn8qexvg13r.feishu.cn/share/base/query/shrcnMqxwwRkV3NUIUxPeab3sec</t>
        </is>
      </c>
      <c r="F1246" t="inlineStr">
        <is>
          <t>请添加微信：k846211</t>
        </is>
      </c>
      <c r="G1246" t="inlineStr">
        <is>
          <t>2026-02-06</t>
        </is>
      </c>
    </row>
    <row r="1247" ht="25.5" customHeight="1">
      <c r="A1247" t="inlineStr">
        <is>
          <t>C开头的游戏</t>
        </is>
      </c>
      <c r="B1247" s="2" t="str">
        <f>=HYPERLINK("https://pan.quark.cn/s/7f2a851e05c6", "https://pan.quark.cn/s/7f2a851e05c6")</f>
        <v>https://pan.quark.cn/s/7f2a851e05c6</v>
      </c>
      <c r="C1247" t="inlineStr">
        <is>
          <t>243.5GB</t>
        </is>
      </c>
      <c r="D1247" t="inlineStr">
        <is>
          <t>/游戏/游戏资源/游戏内容/游戏相关/游戏</t>
        </is>
      </c>
      <c r="E1247" t="inlineStr">
        <is>
          <t>https://dcn8qexvg13r.feishu.cn/share/base/query/shrcnMqxwwRkV3NUIUxPeab3sec</t>
        </is>
      </c>
      <c r="F1247" t="inlineStr">
        <is>
          <t>请添加微信：k846211</t>
        </is>
      </c>
      <c r="G1247" t="inlineStr">
        <is>
          <t>2026-02-06</t>
        </is>
      </c>
    </row>
    <row r="1248" ht="25.5" customHeight="1">
      <c r="A1248" t="inlineStr">
        <is>
          <t>D开头的游戏</t>
        </is>
      </c>
      <c r="B1248" s="2" t="str">
        <f>=HYPERLINK("https://pan.quark.cn/s/5e27eae5bf76", "https://pan.quark.cn/s/5e27eae5bf76")</f>
        <v>https://pan.quark.cn/s/5e27eae5bf76</v>
      </c>
      <c r="C1248" t="inlineStr">
        <is>
          <t>1.1TB</t>
        </is>
      </c>
      <c r="D1248" t="inlineStr">
        <is>
          <t>/游戏/电子游戏/游戏资源/游戏合集/游戏</t>
        </is>
      </c>
      <c r="E1248" t="inlineStr">
        <is>
          <t>https://dcn8qexvg13r.feishu.cn/share/base/query/shrcnMqxwwRkV3NUIUxPeab3sec</t>
        </is>
      </c>
      <c r="F1248" t="inlineStr">
        <is>
          <t>请添加微信：k846211</t>
        </is>
      </c>
      <c r="G1248" t="inlineStr">
        <is>
          <t>2026-02-06</t>
        </is>
      </c>
    </row>
    <row r="1249" ht="25.5" customHeight="1">
      <c r="A1249" t="inlineStr">
        <is>
          <t>E开头的游戏</t>
        </is>
      </c>
      <c r="B1249" s="2" t="str">
        <f>=HYPERLINK("https://pan.quark.cn/s/e30efb681f3d", "https://pan.quark.cn/s/e30efb681f3d")</f>
        <v>https://pan.quark.cn/s/e30efb681f3d</v>
      </c>
      <c r="C1249" t="inlineStr">
        <is>
          <t>3.6GB</t>
        </is>
      </c>
      <c r="D1249" t="inlineStr">
        <is>
          <t>/E开头/游戏/游戏玩家/游戏</t>
        </is>
      </c>
      <c r="E1249" t="inlineStr">
        <is>
          <t>https://dcn8qexvg13r.feishu.cn/share/base/query/shrcnMqxwwRkV3NUIUxPeab3sec</t>
        </is>
      </c>
      <c r="F1249" t="inlineStr">
        <is>
          <t>请添加微信：k846211</t>
        </is>
      </c>
      <c r="G1249" t="inlineStr">
        <is>
          <t>2026-02-06</t>
        </is>
      </c>
    </row>
    <row r="1250" ht="25.5" customHeight="1">
      <c r="A1250" t="inlineStr">
        <is>
          <t>F开头的游戏</t>
        </is>
      </c>
      <c r="B1250" s="2" t="str">
        <f>=HYPERLINK("https://pan.quark.cn/s/e77b7ab8238d", "https://pan.quark.cn/s/e77b7ab8238d")</f>
        <v>https://pan.quark.cn/s/e77b7ab8238d</v>
      </c>
      <c r="C1250" t="inlineStr">
        <is>
          <t>1.0TB</t>
        </is>
      </c>
      <c r="D1250" t="inlineStr">
        <is>
          <t>/F开头/游戏/游戏/游戏</t>
        </is>
      </c>
      <c r="E1250" t="inlineStr">
        <is>
          <t>https://dcn8qexvg13r.feishu.cn/share/base/query/shrcnMqxwwRkV3NUIUxPeab3sec</t>
        </is>
      </c>
      <c r="F1250" t="inlineStr">
        <is>
          <t>请添加微信：k846211</t>
        </is>
      </c>
      <c r="G1250" t="inlineStr">
        <is>
          <t>2026-02-06</t>
        </is>
      </c>
    </row>
    <row r="1251" ht="25.5" customHeight="1">
      <c r="A1251" t="inlineStr">
        <is>
          <t>G开头的游戏</t>
        </is>
      </c>
      <c r="B1251" s="2" t="str">
        <f>=HYPERLINK("https://pan.quark.cn/s/895f3ef03f92", "https://pan.quark.cn/s/895f3ef03f92")</f>
        <v>https://pan.quark.cn/s/895f3ef03f92</v>
      </c>
      <c r="C1251" t="inlineStr">
        <is>
          <t>1.2TB</t>
        </is>
      </c>
      <c r="D1251" t="inlineStr">
        <is>
          <t>/G开头/游戏/游戏玩家/游戏</t>
        </is>
      </c>
      <c r="E1251" t="inlineStr">
        <is>
          <t>https://dcn8qexvg13r.feishu.cn/share/base/query/shrcnMqxwwRkV3NUIUxPeab3sec</t>
        </is>
      </c>
      <c r="F1251" t="inlineStr">
        <is>
          <t>请添加微信：k846211</t>
        </is>
      </c>
      <c r="G1251" t="inlineStr">
        <is>
          <t>2026-02-06</t>
        </is>
      </c>
    </row>
    <row r="1252" ht="25.5" customHeight="1">
      <c r="A1252" t="inlineStr">
        <is>
          <t>H开头的游戏</t>
        </is>
      </c>
      <c r="B1252" s="2" t="str">
        <f>=HYPERLINK("https://pan.quark.cn/s/1e59f48f1214", "https://pan.quark.cn/s/1e59f48f1214")</f>
        <v>https://pan.quark.cn/s/1e59f48f1214</v>
      </c>
      <c r="C1252" t="inlineStr">
        <is>
          <t>1.0TB</t>
        </is>
      </c>
      <c r="D1252" t="inlineStr">
        <is>
          <t>/游戏/游戏资源/游戏合集/游戏爱好者/游戏</t>
        </is>
      </c>
      <c r="E1252" t="inlineStr">
        <is>
          <t>https://dcn8qexvg13r.feishu.cn/share/base/query/shrcnMqxwwRkV3NUIUxPeab3sec</t>
        </is>
      </c>
      <c r="F1252" t="inlineStr">
        <is>
          <t>请添加微信：k846211</t>
        </is>
      </c>
      <c r="G1252" t="inlineStr">
        <is>
          <t>2026-02-06</t>
        </is>
      </c>
    </row>
    <row r="1253" ht="25.5" customHeight="1">
      <c r="A1253" t="inlineStr">
        <is>
          <t>I开头的游戏</t>
        </is>
      </c>
      <c r="B1253" s="2" t="str">
        <f>=HYPERLINK("https://pan.quark.cn/s/36693dae2c02", "https://pan.quark.cn/s/36693dae2c02")</f>
        <v>https://pan.quark.cn/s/36693dae2c02</v>
      </c>
      <c r="C1253" t="inlineStr">
        <is>
          <t>0B</t>
        </is>
      </c>
      <c r="D1253" t="inlineStr">
        <is>
          <t>/I开头/游戏/游戏资源/游戏爱好者/游戏</t>
        </is>
      </c>
      <c r="E1253" t="inlineStr">
        <is>
          <t>https://dcn8qexvg13r.feishu.cn/share/base/query/shrcnMqxwwRkV3NUIUxPeab3sec</t>
        </is>
      </c>
      <c r="F1253" t="inlineStr">
        <is>
          <t>请添加微信：k846211</t>
        </is>
      </c>
      <c r="G1253" t="inlineStr">
        <is>
          <t>2026-02-06</t>
        </is>
      </c>
    </row>
    <row r="1254" ht="25.5" customHeight="1">
      <c r="A1254" t="inlineStr">
        <is>
          <t>J开头的游戏</t>
        </is>
      </c>
      <c r="B1254" s="2" t="str">
        <f>=HYPERLINK("https://pan.quark.cn/s/8dfaea591697", "https://pan.quark.cn/s/8dfaea591697")</f>
        <v>https://pan.quark.cn/s/8dfaea591697</v>
      </c>
      <c r="C1254" t="inlineStr">
        <is>
          <t>318.7GB</t>
        </is>
      </c>
      <c r="D1254" t="inlineStr">
        <is>
          <t>/游戏/字母J/娱乐/休闲/游戏</t>
        </is>
      </c>
      <c r="E1254" t="inlineStr">
        <is>
          <t>https://dcn8qexvg13r.feishu.cn/share/base/query/shrcnMqxwwRkV3NUIUxPeab3sec</t>
        </is>
      </c>
      <c r="F1254" t="inlineStr">
        <is>
          <t>请添加微信：k846211</t>
        </is>
      </c>
      <c r="G1254" t="inlineStr">
        <is>
          <t>2026-02-06</t>
        </is>
      </c>
    </row>
    <row r="1255" ht="25.5" customHeight="1">
      <c r="A1255" t="inlineStr">
        <is>
          <t>K开头的游戏</t>
        </is>
      </c>
      <c r="B1255" s="2" t="str">
        <f>=HYPERLINK("https://pan.quark.cn/s/090155546d65", "https://pan.quark.cn/s/090155546d65")</f>
        <v>https://pan.quark.cn/s/090155546d65</v>
      </c>
      <c r="C1255" t="inlineStr">
        <is>
          <t>306.7GB</t>
        </is>
      </c>
      <c r="D1255" t="inlineStr">
        <is>
          <t>/K开头/游戏/游戏资源/游戏爱好者/游戏</t>
        </is>
      </c>
      <c r="E1255" t="inlineStr">
        <is>
          <t>https://dcn8qexvg13r.feishu.cn/share/base/query/shrcnMqxwwRkV3NUIUxPeab3sec</t>
        </is>
      </c>
      <c r="F1255" t="inlineStr">
        <is>
          <t>请添加微信：k846211</t>
        </is>
      </c>
      <c r="G1255" t="inlineStr">
        <is>
          <t>2026-02-06</t>
        </is>
      </c>
    </row>
    <row r="1256" ht="25.5" customHeight="1">
      <c r="A1256" t="inlineStr">
        <is>
          <t>L开头的游戏</t>
        </is>
      </c>
      <c r="B1256" s="2" t="str">
        <f>=HYPERLINK("https://pan.quark.cn/s/57a9c66a68cd", "https://pan.quark.cn/s/57a9c66a68cd")</f>
        <v>https://pan.quark.cn/s/57a9c66a68cd</v>
      </c>
      <c r="C1256" t="inlineStr">
        <is>
          <t>0B</t>
        </is>
      </c>
      <c r="D1256" t="inlineStr">
        <is>
          <t>/L/游戏/游戏资源/游戏内容/游戏</t>
        </is>
      </c>
      <c r="E1256" t="inlineStr">
        <is>
          <t>https://dcn8qexvg13r.feishu.cn/share/base/query/shrcnMqxwwRkV3NUIUxPeab3sec</t>
        </is>
      </c>
      <c r="F1256" t="inlineStr">
        <is>
          <t>请添加微信：k846211</t>
        </is>
      </c>
      <c r="G1256" t="inlineStr">
        <is>
          <t>2026-02-06</t>
        </is>
      </c>
    </row>
    <row r="1257" ht="25.5" customHeight="1">
      <c r="A1257" t="inlineStr">
        <is>
          <t>M开头的游戏</t>
        </is>
      </c>
      <c r="B1257" s="2" t="str">
        <f>=HYPERLINK("https://pan.quark.cn/s/f869ba1e9a40", "https://pan.quark.cn/s/f869ba1e9a40")</f>
        <v>https://pan.quark.cn/s/f869ba1e9a40</v>
      </c>
      <c r="C1257" t="inlineStr">
        <is>
          <t>575.0GB</t>
        </is>
      </c>
      <c r="D1257" t="inlineStr">
        <is>
          <t>/M开头/游戏/游戏资源/游戏内容/游戏</t>
        </is>
      </c>
      <c r="E1257" t="inlineStr">
        <is>
          <t>https://dcn8qexvg13r.feishu.cn/share/base/query/shrcnMqxwwRkV3NUIUxPeab3sec</t>
        </is>
      </c>
      <c r="F1257" t="inlineStr">
        <is>
          <t>请添加微信：k846211</t>
        </is>
      </c>
      <c r="G1257" t="inlineStr">
        <is>
          <t>2026-02-06</t>
        </is>
      </c>
    </row>
    <row r="1258" ht="25.5" customHeight="1">
      <c r="A1258" t="inlineStr">
        <is>
          <t>N开头的游戏</t>
        </is>
      </c>
      <c r="B1258" s="2" t="str">
        <f>=HYPERLINK("https://pan.quark.cn/s/a0b7dfef13cf", "https://pan.quark.cn/s/a0b7dfef13cf")</f>
        <v>https://pan.quark.cn/s/a0b7dfef13cf</v>
      </c>
      <c r="C1258" t="inlineStr">
        <is>
          <t>0B</t>
        </is>
      </c>
      <c r="D1258" t="inlineStr">
        <is>
          <t>/游戏/电子游戏/娱乐/休闲/游戏</t>
        </is>
      </c>
      <c r="E1258" t="inlineStr">
        <is>
          <t>https://dcn8qexvg13r.feishu.cn/share/base/query/shrcnMqxwwRkV3NUIUxPeab3sec</t>
        </is>
      </c>
      <c r="F1258" t="inlineStr">
        <is>
          <t>请添加微信：k846211</t>
        </is>
      </c>
      <c r="G1258" t="inlineStr">
        <is>
          <t>2026-02-06</t>
        </is>
      </c>
    </row>
    <row r="1259" ht="25.5" customHeight="1">
      <c r="A1259" t="inlineStr">
        <is>
          <t>O开头的游戏</t>
        </is>
      </c>
      <c r="B1259" s="2" t="str">
        <f>=HYPERLINK("https://pan.quark.cn/s/a7c846674f9e", "https://pan.quark.cn/s/a7c846674f9e")</f>
        <v>https://pan.quark.cn/s/a7c846674f9e</v>
      </c>
      <c r="C1259" t="inlineStr">
        <is>
          <t>30.9GB</t>
        </is>
      </c>
      <c r="D1259" t="inlineStr">
        <is>
          <t>/游戏/游戏资源/游戏相关/游戏合集/游戏</t>
        </is>
      </c>
      <c r="E1259" t="inlineStr">
        <is>
          <t>https://dcn8qexvg13r.feishu.cn/share/base/query/shrcnMqxwwRkV3NUIUxPeab3sec</t>
        </is>
      </c>
      <c r="F1259" t="inlineStr">
        <is>
          <t>请添加微信：k846211</t>
        </is>
      </c>
      <c r="G1259" t="inlineStr">
        <is>
          <t>2026-02-06</t>
        </is>
      </c>
    </row>
    <row r="1260" ht="25.5" customHeight="1">
      <c r="A1260" t="inlineStr">
        <is>
          <t>P开头的游戏</t>
        </is>
      </c>
      <c r="B1260" s="2" t="str">
        <f>=HYPERLINK("https://pan.quark.cn/s/1c2d1619617a", "https://pan.quark.cn/s/1c2d1619617a")</f>
        <v>https://pan.quark.cn/s/1c2d1619617a</v>
      </c>
      <c r="C1260" t="inlineStr">
        <is>
          <t>72.1GB</t>
        </is>
      </c>
      <c r="D1260" t="inlineStr">
        <is>
          <t>/游戏/游戏资源/游戏合集/游戏爱好者/游戏</t>
        </is>
      </c>
      <c r="E1260" t="inlineStr">
        <is>
          <t>https://dcn8qexvg13r.feishu.cn/share/base/query/shrcnMqxwwRkV3NUIUxPeab3sec</t>
        </is>
      </c>
      <c r="F1260" t="inlineStr">
        <is>
          <t>请添加微信：k846211</t>
        </is>
      </c>
      <c r="G1260" t="inlineStr">
        <is>
          <t>2026-02-06</t>
        </is>
      </c>
    </row>
    <row r="1261" ht="25.5" customHeight="1">
      <c r="A1261" t="inlineStr">
        <is>
          <t>Q开头的游戏</t>
        </is>
      </c>
      <c r="B1261" s="2" t="str">
        <f>=HYPERLINK("https://pan.quark.cn/s/ef52b9ac6756", "https://pan.quark.cn/s/ef52b9ac6756")</f>
        <v>https://pan.quark.cn/s/ef52b9ac6756</v>
      </c>
      <c r="C1261" t="inlineStr">
        <is>
          <t>0B</t>
        </is>
      </c>
      <c r="D1261" t="inlineStr">
        <is>
          <t>/游戏/Q开头/游戏/Q/游戏</t>
        </is>
      </c>
      <c r="E1261" t="inlineStr">
        <is>
          <t>https://dcn8qexvg13r.feishu.cn/share/base/query/shrcnMqxwwRkV3NUIUxPeab3sec</t>
        </is>
      </c>
      <c r="F1261" t="inlineStr">
        <is>
          <t>请添加微信：k846211</t>
        </is>
      </c>
      <c r="G1261" t="inlineStr">
        <is>
          <t>2026-02-06</t>
        </is>
      </c>
    </row>
    <row r="1262" ht="25.5" customHeight="1">
      <c r="A1262" t="inlineStr">
        <is>
          <t>R开头的游戏</t>
        </is>
      </c>
      <c r="B1262" s="2" t="str">
        <f>=HYPERLINK("https://pan.quark.cn/s/347a9ac22984", "https://pan.quark.cn/s/347a9ac22984")</f>
        <v>https://pan.quark.cn/s/347a9ac22984</v>
      </c>
      <c r="C1262" t="inlineStr">
        <is>
          <t>167.4GB</t>
        </is>
      </c>
      <c r="D1262" t="inlineStr">
        <is>
          <t>/R开头/游戏/游戏玩家</t>
        </is>
      </c>
      <c r="E1262" t="inlineStr">
        <is>
          <t>https://dcn8qexvg13r.feishu.cn/share/base/query/shrcnMqxwwRkV3NUIUxPeab3sec</t>
        </is>
      </c>
      <c r="F1262" t="inlineStr">
        <is>
          <t>请添加微信：k846211</t>
        </is>
      </c>
      <c r="G1262" t="inlineStr">
        <is>
          <t>2026-02-06</t>
        </is>
      </c>
    </row>
    <row r="1263" ht="25.5" customHeight="1">
      <c r="A1263" t="inlineStr">
        <is>
          <t>S开头的游戏</t>
        </is>
      </c>
      <c r="B1263" s="2" t="str">
        <f>=HYPERLINK("https://pan.quark.cn/s/56e9264d90ba", "https://pan.quark.cn/s/56e9264d90ba")</f>
        <v>https://pan.quark.cn/s/56e9264d90ba</v>
      </c>
      <c r="C1263" t="inlineStr">
        <is>
          <t>4.7TB</t>
        </is>
      </c>
      <c r="D1263" t="inlineStr">
        <is>
          <t>/S开头/游戏/游戏玩家</t>
        </is>
      </c>
      <c r="E1263" t="inlineStr">
        <is>
          <t>https://dcn8qexvg13r.feishu.cn/share/base/query/shrcnMqxwwRkV3NUIUxPeab3sec</t>
        </is>
      </c>
      <c r="F1263" t="inlineStr">
        <is>
          <t>请添加微信：k846211</t>
        </is>
      </c>
      <c r="G1263" t="inlineStr">
        <is>
          <t>2026-02-06</t>
        </is>
      </c>
    </row>
    <row r="1264" ht="25.5" customHeight="1">
      <c r="A1264" t="inlineStr">
        <is>
          <t>T开头的游戏</t>
        </is>
      </c>
      <c r="B1264" s="2" t="str">
        <f>=HYPERLINK("https://pan.quark.cn/s/f237aba3202f", "https://pan.quark.cn/s/f237aba3202f")</f>
        <v>https://pan.quark.cn/s/f237aba3202f</v>
      </c>
      <c r="C1264" t="inlineStr">
        <is>
          <t>142.9GB</t>
        </is>
      </c>
      <c r="D1264" t="inlineStr">
        <is>
          <t>/T开头/游戏/游戏资源/游戏玩家/游戏</t>
        </is>
      </c>
      <c r="E1264" t="inlineStr">
        <is>
          <t>https://dcn8qexvg13r.feishu.cn/share/base/query/shrcnMqxwwRkV3NUIUxPeab3sec</t>
        </is>
      </c>
      <c r="F1264" t="inlineStr">
        <is>
          <t>请添加微信：k846211</t>
        </is>
      </c>
      <c r="G1264" t="inlineStr">
        <is>
          <t>2026-02-06</t>
        </is>
      </c>
    </row>
    <row r="1265" ht="25.5" customHeight="1">
      <c r="A1265" t="inlineStr">
        <is>
          <t>U开头的游戏</t>
        </is>
      </c>
      <c r="B1265" s="2" t="str">
        <f>=HYPERLINK("https://pan.quark.cn/s/7f05841a2588", "https://pan.quark.cn/s/7f05841a2588")</f>
        <v>https://pan.quark.cn/s/7f05841a2588</v>
      </c>
      <c r="C1265" t="inlineStr">
        <is>
          <t>0B</t>
        </is>
      </c>
      <c r="D1265" t="inlineStr">
        <is>
          <t>/U开头/游戏/游戏爱好者/游戏玩家/游戏</t>
        </is>
      </c>
      <c r="E1265" t="inlineStr">
        <is>
          <t>https://dcn8qexvg13r.feishu.cn/share/base/query/shrcnMqxwwRkV3NUIUxPeab3sec</t>
        </is>
      </c>
      <c r="F1265" t="inlineStr">
        <is>
          <t>请添加微信：k846211</t>
        </is>
      </c>
      <c r="G1265" t="inlineStr">
        <is>
          <t>2026-02-06</t>
        </is>
      </c>
    </row>
    <row r="1266" ht="25.5" customHeight="1">
      <c r="A1266" t="inlineStr">
        <is>
          <t>V开头的游戏</t>
        </is>
      </c>
      <c r="B1266" s="2" t="str">
        <f>=HYPERLINK("https://pan.quark.cn/s/54ac710b4b4a", "https://pan.quark.cn/s/54ac710b4b4a")</f>
        <v>https://pan.quark.cn/s/54ac710b4b4a</v>
      </c>
      <c r="C1266" t="inlineStr">
        <is>
          <t>0B</t>
        </is>
      </c>
      <c r="D1266" t="inlineStr">
        <is>
          <t>/V开头/游戏/游戏玩家</t>
        </is>
      </c>
      <c r="E1266" t="inlineStr">
        <is>
          <t>https://dcn8qexvg13r.feishu.cn/share/base/query/shrcnMqxwwRkV3NUIUxPeab3sec</t>
        </is>
      </c>
      <c r="F1266" t="inlineStr">
        <is>
          <t>请添加微信：k846211</t>
        </is>
      </c>
      <c r="G1266" t="inlineStr">
        <is>
          <t>2026-02-06</t>
        </is>
      </c>
    </row>
    <row r="1267" ht="25.5" customHeight="1">
      <c r="A1267" t="inlineStr">
        <is>
          <t>W开头的游戏</t>
        </is>
      </c>
      <c r="B1267" s="2" t="str">
        <f>=HYPERLINK("https://pan.quark.cn/s/a5f2e6d9a237", "https://pan.quark.cn/s/a5f2e6d9a237")</f>
        <v>https://pan.quark.cn/s/a5f2e6d9a237</v>
      </c>
      <c r="C1267" t="inlineStr">
        <is>
          <t>453.8GB</t>
        </is>
      </c>
      <c r="D1267" t="inlineStr">
        <is>
          <t>/游戏/游戏资源/游戏合集/游戏名称/游戏</t>
        </is>
      </c>
      <c r="E1267" t="inlineStr">
        <is>
          <t>https://dcn8qexvg13r.feishu.cn/share/base/query/shrcnMqxwwRkV3NUIUxPeab3sec</t>
        </is>
      </c>
      <c r="F1267" t="inlineStr">
        <is>
          <t>请添加微信：k846211</t>
        </is>
      </c>
      <c r="G1267" t="inlineStr">
        <is>
          <t>2026-02-06</t>
        </is>
      </c>
    </row>
    <row r="1268" ht="25.5" customHeight="1">
      <c r="A1268" t="inlineStr">
        <is>
          <t>未整理的游戏</t>
        </is>
      </c>
      <c r="B1268" s="2" t="str">
        <f>=HYPERLINK("https://pan.quark.cn/s/bd89b6b24d02", "https://pan.quark.cn/s/bd89b6b24d02")</f>
        <v>https://pan.quark.cn/s/bd89b6b24d02</v>
      </c>
      <c r="C1268" t="inlineStr">
        <is>
          <t>0B</t>
        </is>
      </c>
      <c r="D1268" t="inlineStr">
        <is>
          <t>/游戏/未整理/游戏</t>
        </is>
      </c>
      <c r="E1268" t="inlineStr">
        <is>
          <t>https://dcn8qexvg13r.feishu.cn/share/base/query/shrcnMqxwwRkV3NUIUxPeab3sec</t>
        </is>
      </c>
      <c r="F1268" t="inlineStr">
        <is>
          <t>请添加微信：k846211</t>
        </is>
      </c>
      <c r="G1268" t="inlineStr">
        <is>
          <t>2026-02-06</t>
        </is>
      </c>
    </row>
    <row r="1269" ht="25.5" customHeight="1">
      <c r="A1269" t="inlineStr">
        <is>
          <t>X开头的游戏</t>
        </is>
      </c>
      <c r="B1269" s="2" t="str">
        <f>=HYPERLINK("https://pan.quark.cn/s/61d61ec1c697", "https://pan.quark.cn/s/61d61ec1c697")</f>
        <v>https://pan.quark.cn/s/61d61ec1c697</v>
      </c>
      <c r="C1269" t="inlineStr">
        <is>
          <t>332.4GB</t>
        </is>
      </c>
      <c r="D1269" t="inlineStr">
        <is>
          <t>/X开头/游戏/游戏爱好者/游戏玩家</t>
        </is>
      </c>
      <c r="E1269" t="inlineStr">
        <is>
          <t>https://dcn8qexvg13r.feishu.cn/share/base/query/shrcnMqxwwRkV3NUIUxPeab3sec</t>
        </is>
      </c>
      <c r="F1269" t="inlineStr">
        <is>
          <t>请添加微信：k846211</t>
        </is>
      </c>
      <c r="G1269" t="inlineStr">
        <is>
          <t>2026-02-06</t>
        </is>
      </c>
    </row>
    <row r="1270" ht="25.5" customHeight="1">
      <c r="A1270" t="inlineStr">
        <is>
          <t>Y开头的游戏</t>
        </is>
      </c>
      <c r="B1270" s="2" t="str">
        <f>=HYPERLINK("https://pan.quark.cn/s/fff3938a1bf4", "https://pan.quark.cn/s/fff3938a1bf4")</f>
        <v>https://pan.quark.cn/s/fff3938a1bf4</v>
      </c>
      <c r="C1270" t="inlineStr">
        <is>
          <t>115.5GB</t>
        </is>
      </c>
      <c r="D1270" t="inlineStr">
        <is>
          <t>/Y开头/游戏/游戏玩家/游戏</t>
        </is>
      </c>
      <c r="E1270" t="inlineStr">
        <is>
          <t>https://dcn8qexvg13r.feishu.cn/share/base/query/shrcnMqxwwRkV3NUIUxPeab3sec</t>
        </is>
      </c>
      <c r="F1270" t="inlineStr">
        <is>
          <t>请添加微信：k846211</t>
        </is>
      </c>
      <c r="G1270" t="inlineStr">
        <is>
          <t>2026-02-06</t>
        </is>
      </c>
    </row>
    <row r="1271" ht="25.5" customHeight="1">
      <c r="A1271" t="inlineStr">
        <is>
          <t>Z开头的游戏</t>
        </is>
      </c>
      <c r="B1271" s="2" t="str">
        <f>=HYPERLINK("https://pan.quark.cn/s/cba3c38dd9f3", "https://pan.quark.cn/s/cba3c38dd9f3")</f>
        <v>https://pan.quark.cn/s/cba3c38dd9f3</v>
      </c>
      <c r="C1271" t="inlineStr">
        <is>
          <t>2.1TB</t>
        </is>
      </c>
      <c r="D1271" t="inlineStr">
        <is>
          <t>/Z开头/游戏/游戏/游戏</t>
        </is>
      </c>
      <c r="E1271" t="inlineStr">
        <is>
          <t>https://dcn8qexvg13r.feishu.cn/share/base/query/shrcnMqxwwRkV3NUIUxPeab3sec</t>
        </is>
      </c>
      <c r="F1271" t="inlineStr">
        <is>
          <t>请添加微信：k846211</t>
        </is>
      </c>
      <c r="G1271" t="inlineStr">
        <is>
          <t>2026-02-06</t>
        </is>
      </c>
    </row>
    <row r="1272" ht="25.5" customHeight="1">
      <c r="A1272" t="inlineStr">
        <is>
          <t>壁纸</t>
        </is>
      </c>
      <c r="B1272" s="2" t="str">
        <f>=HYPERLINK("https://pan.quark.cn/s/21b96fc6b4b0", "https://pan.quark.cn/s/21b96fc6b4b0")</f>
        <v>https://pan.quark.cn/s/21b96fc6b4b0</v>
      </c>
      <c r="C1272" t="inlineStr">
        <is>
          <t>293.2GB</t>
        </is>
      </c>
      <c r="D1272" t="inlineStr">
        <is>
          <t>/壁纸/桌面美化/视觉素材/设计素材/其他</t>
        </is>
      </c>
      <c r="E1272" t="inlineStr">
        <is>
          <t>https://dcn8qexvg13r.feishu.cn/share/base/query/shrcnMqxwwRkV3NUIUxPeab3sec</t>
        </is>
      </c>
      <c r="F1272" t="inlineStr">
        <is>
          <t>请添加微信：k846211</t>
        </is>
      </c>
      <c r="G1272" t="inlineStr">
        <is>
          <t>2026-02-06</t>
        </is>
      </c>
    </row>
    <row r="1273" ht="25.5" customHeight="1">
      <c r="A1273" t="inlineStr">
        <is>
          <t>陈氏太极教学</t>
        </is>
      </c>
      <c r="B1273" s="2" t="str">
        <f>=HYPERLINK("https://pan.quark.cn/s/037b972f7b77", "https://pan.quark.cn/s/037b972f7b77")</f>
        <v>https://pan.quark.cn/s/037b972f7b77</v>
      </c>
      <c r="C1273" t="inlineStr">
        <is>
          <t>1.8GB</t>
        </is>
      </c>
      <c r="D1273" t="inlineStr">
        <is>
          <t>/陈氏太极/教学/武术学习/健康养生/技能入门/其他</t>
        </is>
      </c>
      <c r="E1273" t="inlineStr">
        <is>
          <t>https://dcn8qexvg13r.feishu.cn/share/base/query/shrcnMqxwwRkV3NUIUxPeab3sec</t>
        </is>
      </c>
      <c r="F1273" t="inlineStr">
        <is>
          <t>请添加微信：k846211</t>
        </is>
      </c>
      <c r="G1273" t="inlineStr">
        <is>
          <t>2026-02-06</t>
        </is>
      </c>
    </row>
    <row r="1274" ht="25.5" customHeight="1">
      <c r="A1274" t="inlineStr">
        <is>
          <t>A149——【AI人声伴奏分离神器】</t>
        </is>
      </c>
      <c r="B1274" s="2" t="str">
        <f>=HYPERLINK("https://pan.quark.cn/s/4ceacaf5def2", "https://pan.quark.cn/s/4ceacaf5def2")</f>
        <v>https://pan.quark.cn/s/4ceacaf5def2</v>
      </c>
      <c r="C1274" t="inlineStr">
        <is>
          <t>230.9MB</t>
        </is>
      </c>
      <c r="D1274" t="inlineStr">
        <is>
          <t>/AI人声伴奏分离/工具/音频处理/音乐制作/音乐迷/特定行业从业者</t>
        </is>
      </c>
      <c r="E1274" t="inlineStr">
        <is>
          <t>https://dcn8qexvg13r.feishu.cn/share/base/query/shrcnMqxwwRkV3NUIUxPeab3sec</t>
        </is>
      </c>
      <c r="F1274" t="inlineStr">
        <is>
          <t>请添加微信：k846211</t>
        </is>
      </c>
      <c r="G1274" t="inlineStr">
        <is>
          <t>2026-02-06</t>
        </is>
      </c>
    </row>
    <row r="1275" ht="25.5" customHeight="1">
      <c r="A1275" t="inlineStr">
        <is>
          <t>[Tim]自动脚本精灵25.02.05_会员pro.apk</t>
        </is>
      </c>
      <c r="B1275" s="2" t="str">
        <f>=HYPERLINK("https://pan.quark.cn/s/55e8b4fbac3a", "https://pan.quark.cn/s/55e8b4fbac3a")</f>
        <v>https://pan.quark.cn/s/55e8b4fbac3a</v>
      </c>
      <c r="C1275" t="inlineStr">
        <is>
          <t>102.8MB</t>
        </is>
      </c>
      <c r="D1275" t="inlineStr">
        <is>
          <t>/自动脚本/会员pro/工具/编程/特定行业从业者/其他</t>
        </is>
      </c>
      <c r="E1275" t="inlineStr">
        <is>
          <t>https://dcn8qexvg13r.feishu.cn/share/base/query/shrcnMqxwwRkV3NUIUxPeab3sec</t>
        </is>
      </c>
      <c r="F1275" t="inlineStr">
        <is>
          <t>请添加微信：k846211</t>
        </is>
      </c>
      <c r="G1275" t="inlineStr">
        <is>
          <t>2026-02-06</t>
        </is>
      </c>
    </row>
    <row r="1276" ht="25.5" customHeight="1">
      <c r="A1276" t="inlineStr">
        <is>
          <t>中转站搬运软件</t>
        </is>
      </c>
      <c r="B1276" s="2" t="str">
        <f>=HYPERLINK("https://pan.quark.cn/s/0b4759797e36", "https://pan.quark.cn/s/0b4759797e36")</f>
        <v>https://pan.quark.cn/s/0b4759797e36</v>
      </c>
      <c r="C1276" t="inlineStr">
        <is>
          <t>108.8MB</t>
        </is>
      </c>
      <c r="D1276" t="inlineStr">
        <is>
          <t>/中转站/搬运/软件工具/效率工具/特定行业从业者/白领</t>
        </is>
      </c>
      <c r="E1276" t="inlineStr">
        <is>
          <t>https://dcn8qexvg13r.feishu.cn/share/base/query/shrcnMqxwwRkV3NUIUxPeab3sec</t>
        </is>
      </c>
      <c r="F1276" t="inlineStr">
        <is>
          <t>请添加微信：k846211</t>
        </is>
      </c>
      <c r="G1276" t="inlineStr">
        <is>
          <t>2026-02-06</t>
        </is>
      </c>
    </row>
    <row r="1277" ht="25.5" customHeight="1">
      <c r="A1277" t="inlineStr">
        <is>
          <t>点点精灵2.6.0-1231</t>
        </is>
      </c>
      <c r="B1277" s="2" t="str">
        <f>=HYPERLINK("https://pan.quark.cn/s/ca265fdd6d81", "https://pan.quark.cn/s/ca265fdd6d81")</f>
        <v>https://pan.quark.cn/s/ca265fdd6d81</v>
      </c>
      <c r="C1277" t="inlineStr">
        <is>
          <t>631.8MB</t>
        </is>
      </c>
      <c r="D1277" t="inlineStr">
        <is>
          <t>/点点精灵/2.6.0/版本1231/其他</t>
        </is>
      </c>
      <c r="E1277" t="inlineStr">
        <is>
          <t>https://dcn8qexvg13r.feishu.cn/share/base/query/shrcnMqxwwRkV3NUIUxPeab3sec</t>
        </is>
      </c>
      <c r="F1277" t="inlineStr">
        <is>
          <t>请添加微信：k846211</t>
        </is>
      </c>
      <c r="G1277" t="inlineStr">
        <is>
          <t>2026-02-06</t>
        </is>
      </c>
    </row>
    <row r="1278" ht="25.5" customHeight="1">
      <c r="A1278" t="inlineStr">
        <is>
          <t>R 软件更新</t>
        </is>
      </c>
      <c r="B1278" s="2" t="str">
        <f>=HYPERLINK("https://pan.quark.cn/s/cea784d41c5b", "https://pan.quark.cn/s/cea784d41c5b")</f>
        <v>https://pan.quark.cn/s/cea784d41c5b</v>
      </c>
      <c r="C1278" t="inlineStr">
        <is>
          <t>801.1GB</t>
        </is>
      </c>
      <c r="D1278" t="inlineStr">
        <is>
          <t>/R软件/软件更新/功能优化/性能提升/编程/特定行业从业者</t>
        </is>
      </c>
      <c r="E1278" t="inlineStr">
        <is>
          <t>https://dcn8qexvg13r.feishu.cn/share/base/query/shrcnMqxwwRkV3NUIUxPeab3sec</t>
        </is>
      </c>
      <c r="F1278" t="inlineStr">
        <is>
          <t>请添加微信：k846211</t>
        </is>
      </c>
      <c r="G1278" t="inlineStr">
        <is>
          <t>2026-02-06</t>
        </is>
      </c>
    </row>
    <row r="1279" ht="25.5" customHeight="1">
      <c r="A1279" t="inlineStr">
        <is>
          <t>termux-app_v0.118.0+github-debug_universal.apk</t>
        </is>
      </c>
      <c r="B1279" s="2" t="str">
        <f>=HYPERLINK("https://pan.quark.cn/s/74e58d57e9ac", "https://pan.quark.cn/s/74e58d57e9ac")</f>
        <v>https://pan.quark.cn/s/74e58d57e9ac</v>
      </c>
      <c r="C1279" t="inlineStr">
        <is>
          <t>100.7MB</t>
        </is>
      </c>
      <c r="D1279" t="inlineStr">
        <is>
          <t>/termux/Android应用/调试版/编程/编程</t>
        </is>
      </c>
      <c r="E1279" t="inlineStr">
        <is>
          <t>https://dcn8qexvg13r.feishu.cn/share/base/query/shrcnMqxwwRkV3NUIUxPeab3sec</t>
        </is>
      </c>
      <c r="F1279" t="inlineStr">
        <is>
          <t>请添加微信：k846211</t>
        </is>
      </c>
      <c r="G1279" t="inlineStr">
        <is>
          <t>2026-02-06</t>
        </is>
      </c>
    </row>
    <row r="1280" ht="25.5" customHeight="1">
      <c r="A1280" t="inlineStr">
        <is>
          <t>MT管理器_2.15.5.apk</t>
        </is>
      </c>
      <c r="B1280" s="2" t="str">
        <f>=HYPERLINK("https://pan.quark.cn/s/d5d8a6e2adb3", "https://pan.quark.cn/s/d5d8a6e2adb3")</f>
        <v>https://pan.quark.cn/s/d5d8a6e2adb3</v>
      </c>
      <c r="C1280" t="inlineStr">
        <is>
          <t>23.2MB</t>
        </is>
      </c>
      <c r="D1280" t="inlineStr">
        <is>
          <t>/MT管理器/APK/文件管理/工具/特定行业从业者</t>
        </is>
      </c>
      <c r="E1280" t="inlineStr">
        <is>
          <t>https://dcn8qexvg13r.feishu.cn/share/base/query/shrcnMqxwwRkV3NUIUxPeab3sec</t>
        </is>
      </c>
      <c r="F1280" t="inlineStr">
        <is>
          <t>请添加微信：k846211</t>
        </is>
      </c>
      <c r="G1280" t="inlineStr">
        <is>
          <t>2026-02-06</t>
        </is>
      </c>
    </row>
    <row r="1281" ht="25.5" customHeight="1">
      <c r="A1281" t="inlineStr">
        <is>
          <t>WiFi密码破解(1)</t>
        </is>
      </c>
      <c r="B1281" s="2" t="str">
        <f>=HYPERLINK("https://pan.quark.cn/s/52a7655ce364", "https://pan.quark.cn/s/52a7655ce364")</f>
        <v>https://pan.quark.cn/s/52a7655ce364</v>
      </c>
      <c r="C1281" t="inlineStr">
        <is>
          <t>174.3MB</t>
        </is>
      </c>
      <c r="D1281" t="inlineStr">
        <is>
          <t>/WiFi密码/破解技术/网络工具/其他</t>
        </is>
      </c>
      <c r="E1281" t="inlineStr">
        <is>
          <t>https://dcn8qexvg13r.feishu.cn/share/base/query/shrcnMqxwwRkV3NUIUxPeab3sec</t>
        </is>
      </c>
      <c r="F1281" t="inlineStr">
        <is>
          <t>请添加微信：k846211</t>
        </is>
      </c>
      <c r="G1281" t="inlineStr">
        <is>
          <t>2026-02-06</t>
        </is>
      </c>
    </row>
    <row r="1282" ht="25.5" customHeight="1">
      <c r="A1282" t="inlineStr">
        <is>
          <t>Typora</t>
        </is>
      </c>
      <c r="B1282" s="2" t="str">
        <f>=HYPERLINK("https://pan.quark.cn/s/2514619cd3f1", "https://pan.quark.cn/s/2514619cd3f1")</f>
        <v>https://pan.quark.cn/s/2514619cd3f1</v>
      </c>
      <c r="C1282" t="inlineStr">
        <is>
          <t>86.2MB</t>
        </is>
      </c>
      <c r="D1282" t="inlineStr">
        <is>
          <t>/Markdown/编辑器/文本编辑/写作工具/大学生/白领/编程</t>
        </is>
      </c>
      <c r="E1282" t="inlineStr">
        <is>
          <t>https://dcn8qexvg13r.feishu.cn/share/base/query/shrcnMqxwwRkV3NUIUxPeab3sec</t>
        </is>
      </c>
      <c r="F1282" t="inlineStr">
        <is>
          <t>请添加微信：k846211</t>
        </is>
      </c>
      <c r="G1282" t="inlineStr">
        <is>
          <t>2026-02-06</t>
        </is>
      </c>
    </row>
    <row r="1283" ht="25.5" customHeight="1">
      <c r="A1283" t="inlineStr">
        <is>
          <t>PicGo-Setup-2.4.0-beta.9-x64.exe</t>
        </is>
      </c>
      <c r="B1283" s="2" t="str">
        <f>=HYPERLINK("https://pan.quark.cn/s/68f1f6bb30cb", "https://pan.quark.cn/s/68f1f6bb30cb")</f>
        <v>https://pan.quark.cn/s/68f1f6bb30cb</v>
      </c>
      <c r="C1283" t="inlineStr">
        <is>
          <t>61.0MB</t>
        </is>
      </c>
      <c r="D1283" t="inlineStr">
        <is>
          <t>/PicGo/图片上传工具/截图工具/编程/特定行业从业者/白领</t>
        </is>
      </c>
      <c r="E1283" t="inlineStr">
        <is>
          <t>https://dcn8qexvg13r.feishu.cn/share/base/query/shrcnMqxwwRkV3NUIUxPeab3sec</t>
        </is>
      </c>
      <c r="F1283" t="inlineStr">
        <is>
          <t>请添加微信：k846211</t>
        </is>
      </c>
      <c r="G1283" t="inlineStr">
        <is>
          <t>2026-02-06</t>
        </is>
      </c>
    </row>
    <row r="1284" ht="25.5" customHeight="1">
      <c r="A1284" t="inlineStr">
        <is>
          <t>【软件-独家】独家发布！70款顶级破解软件合集全免费版，大神都在用</t>
        </is>
      </c>
      <c r="B1284" s="2" t="str">
        <f>=HYPERLINK("https://pan.quark.cn/s/0e31d9569cad", "https://pan.quark.cn/s/0e31d9569cad")</f>
        <v>https://pan.quark.cn/s/0e31d9569cad</v>
      </c>
      <c r="C1284" t="inlineStr">
        <is>
          <t>5.2GB</t>
        </is>
      </c>
      <c r="D1284" t="inlineStr">
        <is>
          <t>/软件/破解版/免费/顶级/白领/特定行业从业者</t>
        </is>
      </c>
      <c r="E1284" t="inlineStr">
        <is>
          <t>https://dcn8qexvg13r.feishu.cn/share/base/query/shrcnMqxwwRkV3NUIUxPeab3sec</t>
        </is>
      </c>
      <c r="F1284" t="inlineStr">
        <is>
          <t>请添加微信：k846211</t>
        </is>
      </c>
      <c r="G1284" t="inlineStr">
        <is>
          <t>2026-02-06</t>
        </is>
      </c>
    </row>
    <row r="1285" ht="25.5" customHeight="1">
      <c r="A1285" t="inlineStr">
        <is>
          <t>【省考申论】2026省考袁东申论大作文专项冲刺班</t>
        </is>
      </c>
      <c r="B1285" s="2" t="str">
        <f>=HYPERLINK("https://pan.quark.cn/s/b0190c6a9fe1", "https://pan.quark.cn/s/b0190c6a9fe1")</f>
        <v>https://pan.quark.cn/s/b0190c6a9fe1</v>
      </c>
      <c r="C1285" t="inlineStr">
        <is>
          <t>4.3GB</t>
        </is>
      </c>
      <c r="D1285" t="inlineStr">
        <is>
          <t>省考/申论/大作文/专项冲刺/考研/考公/考证党</t>
        </is>
      </c>
      <c r="E1285" t="inlineStr">
        <is>
          <t>https://dcn8qexvg13r.feishu.cn/share/base/query/shrcnMqxwwRkV3NUIUxPeab3sec</t>
        </is>
      </c>
      <c r="F1285" t="inlineStr">
        <is>
          <t>请添加微信：k846211</t>
        </is>
      </c>
      <c r="G1285" t="inlineStr">
        <is>
          <t>2026-02-06</t>
        </is>
      </c>
    </row>
    <row r="1286" ht="25.5" customHeight="1">
      <c r="A1286" t="inlineStr">
        <is>
          <t>【省考套卷班】2026年超格省考套卷实战班（10套卷）+冲刺点睛课程</t>
        </is>
      </c>
      <c r="B1286" s="2" t="str">
        <f>=HYPERLINK("https://pan.quark.cn/s/75e9dc7973b7", "https://pan.quark.cn/s/75e9dc7973b7")</f>
        <v>https://pan.quark.cn/s/75e9dc7973b7</v>
      </c>
      <c r="C1286" t="inlineStr">
        <is>
          <t>1.0GB</t>
        </is>
      </c>
      <c r="D1286" t="inlineStr">
        <is>
          <t>/省考/套卷实战/冲刺点睛/公务员考试/考研/考公/考证党</t>
        </is>
      </c>
      <c r="E1286" t="inlineStr">
        <is>
          <t>https://dcn8qexvg13r.feishu.cn/share/base/query/shrcnMqxwwRkV3NUIUxPeab3sec</t>
        </is>
      </c>
      <c r="F1286" t="inlineStr">
        <is>
          <t>请添加微信：k846211</t>
        </is>
      </c>
      <c r="G1286" t="inlineStr">
        <is>
          <t>2026-02-06</t>
        </is>
      </c>
    </row>
    <row r="1287" ht="25.5" customHeight="1">
      <c r="A1287" t="inlineStr">
        <is>
          <t>【图推】2026省考龙飞判断试题精讲平面图推</t>
        </is>
      </c>
      <c r="B1287" s="2" t="str">
        <f>=HYPERLINK("https://pan.quark.cn/s/3c6df3321f01", "https://pan.quark.cn/s/3c6df3321f01")</f>
        <v>https://pan.quark.cn/s/3c6df3321f01</v>
      </c>
      <c r="C1287" t="inlineStr">
        <is>
          <t>5.1GB</t>
        </is>
      </c>
      <c r="D1287" t="inlineStr">
        <is>
          <t>/图推/省考/龙飞判断/试题精讲/考研/考公/考证党</t>
        </is>
      </c>
      <c r="E1287" t="inlineStr">
        <is>
          <t>https://dcn8qexvg13r.feishu.cn/share/base/query/shrcnMqxwwRkV3NUIUxPeab3sec</t>
        </is>
      </c>
      <c r="F1287" t="inlineStr">
        <is>
          <t>请添加微信：k846211</t>
        </is>
      </c>
      <c r="G1287" t="inlineStr">
        <is>
          <t>2026-02-06</t>
        </is>
      </c>
    </row>
    <row r="1288" ht="25.5" customHeight="1">
      <c r="A1288" t="inlineStr">
        <is>
          <t>【言语】2026省考柳岩逻辑填空1000高频词闭环突破</t>
        </is>
      </c>
      <c r="B1288" s="2" t="str">
        <f>=HYPERLINK("https://pan.quark.cn/s/23704d820ae2", "https://pan.quark.cn/s/23704d820ae2")</f>
        <v>https://pan.quark.cn/s/23704d820ae2</v>
      </c>
      <c r="C1288" t="inlineStr">
        <is>
          <t>4.0GB</t>
        </is>
      </c>
      <c r="D1288" t="inlineStr">
        <is>
          <t>/言语/逻辑填空/高频词/省考/考研/考公/考证党</t>
        </is>
      </c>
      <c r="E1288" t="inlineStr">
        <is>
          <t>https://dcn8qexvg13r.feishu.cn/share/base/query/shrcnMqxwwRkV3NUIUxPeab3sec</t>
        </is>
      </c>
      <c r="F1288" t="inlineStr">
        <is>
          <t>请添加微信：k846211</t>
        </is>
      </c>
      <c r="G1288" t="inlineStr">
        <is>
          <t>2026-02-06</t>
        </is>
      </c>
    </row>
    <row r="1289" ht="25.5" customHeight="1">
      <c r="A1289" t="inlineStr">
        <is>
          <t>【195】2026超哥联考政治理论专项刷题（公益直播）</t>
        </is>
      </c>
      <c r="B1289" s="2" t="str">
        <f>=HYPERLINK("https://pan.quark.cn/s/602a88e36df2", "https://pan.quark.cn/s/602a88e36df2")</f>
        <v>https://pan.quark.cn/s/602a88e36df2</v>
      </c>
      <c r="C1289" t="inlineStr">
        <is>
          <t>10.3GB</t>
        </is>
      </c>
      <c r="D1289" t="inlineStr">
        <is>
          <t>/政治理论/联考/专项刷题/公益直播/考研/考公/考证党</t>
        </is>
      </c>
      <c r="E1289" t="inlineStr">
        <is>
          <t>https://dcn8qexvg13r.feishu.cn/share/base/query/shrcnMqxwwRkV3NUIUxPeab3sec</t>
        </is>
      </c>
      <c r="F1289" t="inlineStr">
        <is>
          <t>请添加微信：k846211</t>
        </is>
      </c>
      <c r="G1289" t="inlineStr">
        <is>
          <t>2026-02-06</t>
        </is>
      </c>
    </row>
    <row r="1290" ht="25.5" customHeight="1">
      <c r="A1290" t="inlineStr">
        <is>
          <t>【195-2】超哥丨26联考政治理论专项刷题笔记</t>
        </is>
      </c>
      <c r="B1290" s="2" t="str">
        <f>=HYPERLINK("https://pan.quark.cn/s/31a4363a968f", "https://pan.quark.cn/s/31a4363a968f")</f>
        <v>https://pan.quark.cn/s/31a4363a968f</v>
      </c>
      <c r="C1290" t="inlineStr">
        <is>
          <t>37.5MB</t>
        </is>
      </c>
      <c r="D1290" t="inlineStr">
        <is>
          <t>/政治理论/联考/专项刷题/笔记/考研/考公/考证党</t>
        </is>
      </c>
      <c r="E1290" t="inlineStr">
        <is>
          <t>https://dcn8qexvg13r.feishu.cn/share/base/query/shrcnMqxwwRkV3NUIUxPeab3sec</t>
        </is>
      </c>
      <c r="F1290" t="inlineStr">
        <is>
          <t>请添加微信：k846211</t>
        </is>
      </c>
      <c r="G1290" t="inlineStr">
        <is>
          <t>2026-02-06</t>
        </is>
      </c>
    </row>
    <row r="1291" ht="25.5" customHeight="1">
      <c r="A1291" t="inlineStr">
        <is>
          <t>2026张弓言语十二箭【上岸村】</t>
        </is>
      </c>
      <c r="B1291" s="2" t="str">
        <f>=HYPERLINK("https://pan.quark.cn/s/45d6669df81b", "https://pan.quark.cn/s/45d6669df81b")</f>
        <v>https://pan.quark.cn/s/45d6669df81b</v>
      </c>
      <c r="C1291" t="inlineStr">
        <is>
          <t>9.2GB</t>
        </is>
      </c>
      <c r="D1291" t="inlineStr">
        <is>
          <t>/张弓言语/十二箭/上岸村/言语理解/考研/考公/考证党</t>
        </is>
      </c>
      <c r="E1291" t="inlineStr">
        <is>
          <t>https://dcn8qexvg13r.feishu.cn/share/base/query/shrcnMqxwwRkV3NUIUxPeab3sec</t>
        </is>
      </c>
      <c r="F1291" t="inlineStr">
        <is>
          <t>请添加微信：k846211</t>
        </is>
      </c>
      <c r="G1291" t="inlineStr">
        <is>
          <t>2026-02-06</t>
        </is>
      </c>
    </row>
    <row r="1292" ht="25.5" customHeight="1">
      <c r="A1292" t="inlineStr">
        <is>
          <t>2026超格广东事业单位统考全家桶</t>
        </is>
      </c>
      <c r="B1292" s="2" t="str">
        <f>=HYPERLINK("https://pan.quark.cn/s/fad9091e144c", "https://pan.quark.cn/s/fad9091e144c")</f>
        <v>https://pan.quark.cn/s/fad9091e144c</v>
      </c>
      <c r="C1292" t="inlineStr">
        <is>
          <t>30.9GB</t>
        </is>
      </c>
      <c r="D1292" t="inlineStr">
        <is>
          <t>/2026/广东事业单位统考/超格/备考资料/考研/考公/考证党</t>
        </is>
      </c>
      <c r="E1292" t="inlineStr">
        <is>
          <t>https://dcn8qexvg13r.feishu.cn/share/base/query/shrcnMqxwwRkV3NUIUxPeab3sec</t>
        </is>
      </c>
      <c r="F1292" t="inlineStr">
        <is>
          <t>请添加微信：k846211</t>
        </is>
      </c>
      <c r="G1292" t="inlineStr">
        <is>
          <t>2026-02-06</t>
        </is>
      </c>
    </row>
    <row r="1293" ht="25.5" customHeight="1">
      <c r="A1293" t="inlineStr">
        <is>
          <t>2026广东事业编统考公基系统课【李卜&amp;李铁】</t>
        </is>
      </c>
      <c r="B1293" s="2" t="str">
        <f>=HYPERLINK("https://pan.quark.cn/s/4a72c271a32d", "https://pan.quark.cn/s/4a72c271a32d")</f>
        <v>https://pan.quark.cn/s/4a72c271a32d</v>
      </c>
      <c r="C1293" t="inlineStr">
        <is>
          <t>5.1GB</t>
        </is>
      </c>
      <c r="D1293" t="inlineStr">
        <is>
          <t>/广东事业编/公基/系统课/李卜李铁/考研/考公/考证党</t>
        </is>
      </c>
      <c r="E1293" t="inlineStr">
        <is>
          <t>https://dcn8qexvg13r.feishu.cn/share/base/query/shrcnMqxwwRkV3NUIUxPeab3sec</t>
        </is>
      </c>
      <c r="F1293" t="inlineStr">
        <is>
          <t>请添加微信：k846211</t>
        </is>
      </c>
      <c r="G1293" t="inlineStr">
        <is>
          <t>2026-02-06</t>
        </is>
      </c>
    </row>
    <row r="1294" ht="25.5" customHeight="1">
      <c r="A1294" t="inlineStr">
        <is>
          <t>【02】【公专】26白宁公专【国省考】</t>
        </is>
      </c>
      <c r="B1294" s="2" t="str">
        <f>=HYPERLINK("https://pan.quark.cn/s/b436835b956d", "https://pan.quark.cn/s/b436835b956d")</f>
        <v>https://pan.quark.cn/s/b436835b956d</v>
      </c>
      <c r="C1294" t="inlineStr">
        <is>
          <t>236.2GB</t>
        </is>
      </c>
      <c r="D1294" t="inlineStr">
        <is>
          <t>/公专/国省考/白宁/考公/考研/考公/考证党</t>
        </is>
      </c>
      <c r="E1294" t="inlineStr">
        <is>
          <t>https://dcn8qexvg13r.feishu.cn/share/base/query/shrcnMqxwwRkV3NUIUxPeab3sec</t>
        </is>
      </c>
      <c r="F1294" t="inlineStr">
        <is>
          <t>请添加微信：k846211</t>
        </is>
      </c>
      <c r="G1294" t="inlineStr">
        <is>
          <t>2026-02-06</t>
        </is>
      </c>
    </row>
    <row r="1295" ht="25.5" customHeight="1">
      <c r="A1295" t="inlineStr">
        <is>
          <t>【时政】2026超格时政讲练班</t>
        </is>
      </c>
      <c r="B1295" s="2" t="str">
        <f>=HYPERLINK("https://pan.quark.cn/s/3a156d75dfee", "https://pan.quark.cn/s/3a156d75dfee")</f>
        <v>https://pan.quark.cn/s/3a156d75dfee</v>
      </c>
      <c r="C1295" t="inlineStr">
        <is>
          <t>683.8MB</t>
        </is>
      </c>
      <c r="D1295" t="inlineStr">
        <is>
          <t>/时政/讲练班/2026/超格/考研/考公/考证党</t>
        </is>
      </c>
      <c r="E1295" t="inlineStr">
        <is>
          <t>https://dcn8qexvg13r.feishu.cn/share/base/query/shrcnMqxwwRkV3NUIUxPeab3sec</t>
        </is>
      </c>
      <c r="F1295" t="inlineStr">
        <is>
          <t>请添加微信：k846211</t>
        </is>
      </c>
      <c r="G1295" t="inlineStr">
        <is>
          <t>2026-02-06</t>
        </is>
      </c>
    </row>
    <row r="1296" ht="25.5" customHeight="1">
      <c r="A1296" t="inlineStr">
        <is>
          <t>2026一号文件预测40题【李卜】</t>
        </is>
      </c>
      <c r="B1296" s="2" t="str">
        <f>=HYPERLINK("https://pan.quark.cn/s/effd5aa10f31", "https://pan.quark.cn/s/effd5aa10f31")</f>
        <v>https://pan.quark.cn/s/effd5aa10f31</v>
      </c>
      <c r="C1296" t="inlineStr">
        <is>
          <t>3.8MB</t>
        </is>
      </c>
      <c r="D1296" t="inlineStr">
        <is>
          <t>/2026一号文件/预测题/李卜/考研/考公/考证党</t>
        </is>
      </c>
      <c r="E1296" t="inlineStr">
        <is>
          <t>https://dcn8qexvg13r.feishu.cn/share/base/query/shrcnMqxwwRkV3NUIUxPeab3sec</t>
        </is>
      </c>
      <c r="F1296" t="inlineStr">
        <is>
          <t>请添加微信：k846211</t>
        </is>
      </c>
      <c r="G1296" t="inlineStr">
        <is>
          <t>2026-02-06</t>
        </is>
      </c>
    </row>
    <row r="1297" ht="25.5" customHeight="1">
      <c r="A1297" t="inlineStr">
        <is>
          <t>【面试】面试热点513篇</t>
        </is>
      </c>
      <c r="B1297" s="2" t="str">
        <f>=HYPERLINK("https://pan.quark.cn/s/7bbd80e67eb7", "https://pan.quark.cn/s/7bbd80e67eb7")</f>
        <v>https://pan.quark.cn/s/7bbd80e67eb7</v>
      </c>
      <c r="C1297" t="inlineStr">
        <is>
          <t>210.0MB</t>
        </is>
      </c>
      <c r="D1297" t="inlineStr">
        <is>
          <t>/面试/热点/求职/大学生/考研/考公/考证党/白领</t>
        </is>
      </c>
      <c r="E1297" t="inlineStr">
        <is>
          <t>https://dcn8qexvg13r.feishu.cn/share/base/query/shrcnMqxwwRkV3NUIUxPeab3sec</t>
        </is>
      </c>
      <c r="F1297" t="inlineStr">
        <is>
          <t>请添加微信：k846211</t>
        </is>
      </c>
      <c r="G1297" t="inlineStr">
        <is>
          <t>2026-02-06</t>
        </is>
      </c>
    </row>
    <row r="1298" ht="25.5" customHeight="1">
      <c r="A1298" t="inlineStr">
        <is>
          <t>【02】2026超格事考综应B类超大杯刷题营</t>
        </is>
      </c>
      <c r="B1298" s="2" t="str">
        <f>=HYPERLINK("https://pan.quark.cn/s/98574672d531", "https://pan.quark.cn/s/98574672d531")</f>
        <v>https://pan.quark.cn/s/98574672d531</v>
      </c>
      <c r="C1298" t="inlineStr">
        <is>
          <t>11.0GB</t>
        </is>
      </c>
      <c r="D1298" t="inlineStr">
        <is>
          <t>/事考/综应B类/刷题营/超格/考研/考公/考证党</t>
        </is>
      </c>
      <c r="E1298" t="inlineStr">
        <is>
          <t>https://dcn8qexvg13r.feishu.cn/share/base/query/shrcnMqxwwRkV3NUIUxPeab3sec</t>
        </is>
      </c>
      <c r="F1298" t="inlineStr">
        <is>
          <t>请添加微信：k846211</t>
        </is>
      </c>
      <c r="G1298" t="inlineStr">
        <is>
          <t>2026-02-06</t>
        </is>
      </c>
    </row>
    <row r="1299" ht="25.5" customHeight="1">
      <c r="A1299" t="inlineStr">
        <is>
          <t>2026年超格广东事业单位统考笔试全家桶</t>
        </is>
      </c>
      <c r="B1299" s="2" t="str">
        <f>=HYPERLINK("https://pan.quark.cn/s/ceaad918cc43", "https://pan.quark.cn/s/ceaad918cc43")</f>
        <v>https://pan.quark.cn/s/ceaad918cc43</v>
      </c>
      <c r="C1299" t="inlineStr">
        <is>
          <t>6.7GB</t>
        </is>
      </c>
      <c r="D1299" t="inlineStr">
        <is>
          <t>/广东事业单位/统考笔试/超格/备考资料/考研/考公/考证党</t>
        </is>
      </c>
      <c r="E1299" t="inlineStr">
        <is>
          <t>https://dcn8qexvg13r.feishu.cn/share/base/query/shrcnMqxwwRkV3NUIUxPeab3sec</t>
        </is>
      </c>
      <c r="F1299" t="inlineStr">
        <is>
          <t>请添加微信：k846211</t>
        </is>
      </c>
      <c r="G1299" t="inlineStr">
        <is>
          <t>2026-02-06</t>
        </is>
      </c>
    </row>
    <row r="1300" ht="25.5" customHeight="1">
      <c r="A1300" t="inlineStr">
        <is>
          <t>2026广东省情【李铁&amp;李卜】（广东事业编省考选调人才引进）</t>
        </is>
      </c>
      <c r="B1300" s="2" t="str">
        <f>=HYPERLINK("https://pan.quark.cn/s/95fb1b6e478e", "https://pan.quark.cn/s/95fb1b6e478e")</f>
        <v>https://pan.quark.cn/s/95fb1b6e478e</v>
      </c>
      <c r="C1300" t="inlineStr">
        <is>
          <t>311.0MB</t>
        </is>
      </c>
      <c r="D1300" t="inlineStr">
        <is>
          <t>/广东省情/事业编/省考/选调/考研/考公/考证党</t>
        </is>
      </c>
      <c r="E1300" t="inlineStr">
        <is>
          <t>https://dcn8qexvg13r.feishu.cn/share/base/query/shrcnMqxwwRkV3NUIUxPeab3sec</t>
        </is>
      </c>
      <c r="F1300" t="inlineStr">
        <is>
          <t>请添加微信：k846211</t>
        </is>
      </c>
      <c r="G1300" t="inlineStr">
        <is>
          <t>2026-02-06</t>
        </is>
      </c>
    </row>
    <row r="1301" ht="25.5" customHeight="1">
      <c r="A1301" t="inlineStr">
        <is>
          <t>家庭积分表和暑假积分表(1)</t>
        </is>
      </c>
      <c r="B1301" s="2" t="str">
        <f>=HYPERLINK("https://pan.quark.cn/s/8c6d7ce0b241", "https://pan.quark.cn/s/8c6d7ce0b241")</f>
        <v>https://pan.quark.cn/s/8c6d7ce0b241</v>
      </c>
      <c r="C1301" t="inlineStr">
        <is>
          <t>156.9MB</t>
        </is>
      </c>
      <c r="D1301" t="inlineStr">
        <is>
          <t>/家庭积分/暑假积分/积分管理/行为激励/宝妈/家长群体/学龄儿童家长</t>
        </is>
      </c>
      <c r="E1301" t="inlineStr">
        <is>
          <t>https://dcn8qexvg13r.feishu.cn/share/base/query/shrcnMqxwwRkV3NUIUxPeab3sec</t>
        </is>
      </c>
      <c r="F1301" t="inlineStr">
        <is>
          <t>请添加微信：k846211</t>
        </is>
      </c>
      <c r="G1301" t="inlineStr">
        <is>
          <t>2026-02-06</t>
        </is>
      </c>
    </row>
    <row r="1302" ht="25.5" customHeight="1">
      <c r="A1302" t="inlineStr">
        <is>
          <t>9.27三年级英语26个字母每日一练_20240726170615.pdf</t>
        </is>
      </c>
      <c r="B1302" s="2" t="str">
        <f>=HYPERLINK("https://pan.quark.cn/s/8b904f21ba01", "https://pan.quark.cn/s/8b904f21ba01")</f>
        <v>https://pan.quark.cn/s/8b904f21ba01</v>
      </c>
      <c r="C1302" t="inlineStr">
        <is>
          <t>355.9KB</t>
        </is>
      </c>
      <c r="D1302" t="inlineStr">
        <is>
          <t>/三年级英语/26个字母/每日一练/练习/K12/学龄儿童家长</t>
        </is>
      </c>
      <c r="E1302" t="inlineStr">
        <is>
          <t>https://dcn8qexvg13r.feishu.cn/share/base/query/shrcnMqxwwRkV3NUIUxPeab3sec</t>
        </is>
      </c>
      <c r="F1302" t="inlineStr">
        <is>
          <t>请添加微信：k846211</t>
        </is>
      </c>
      <c r="G1302" t="inlineStr">
        <is>
          <t>2026-02-06</t>
        </is>
      </c>
    </row>
    <row r="1303" ht="25.5" customHeight="1">
      <c r="A1303" t="inlineStr">
        <is>
          <t>英语</t>
        </is>
      </c>
      <c r="B1303" s="2" t="str">
        <f>=HYPERLINK("https://pan.quark.cn/s/1dbc3eb91df0", "https://pan.quark.cn/s/1dbc3eb91df0")</f>
        <v>https://pan.quark.cn/s/1dbc3eb91df0</v>
      </c>
      <c r="C1303" t="inlineStr">
        <is>
          <t>418.3MB</t>
        </is>
      </c>
      <c r="D1303" t="inlineStr">
        <is>
          <t>/英语/语言学习/国际交流/K12/大学生</t>
        </is>
      </c>
      <c r="E1303" t="inlineStr">
        <is>
          <t>https://dcn8qexvg13r.feishu.cn/share/base/query/shrcnMqxwwRkV3NUIUxPeab3sec</t>
        </is>
      </c>
      <c r="F1303" t="inlineStr">
        <is>
          <t>请添加微信：k846211</t>
        </is>
      </c>
      <c r="G1303" t="inlineStr">
        <is>
          <t>2026-02-06</t>
        </is>
      </c>
    </row>
    <row r="1304" ht="25.5" customHeight="1">
      <c r="A1304" t="inlineStr">
        <is>
          <t>一年级下册(2)</t>
        </is>
      </c>
      <c r="B1304" s="2" t="str">
        <f>=HYPERLINK("https://pan.quark.cn/s/8a01f2edf7ae", "https://pan.quark.cn/s/8a01f2edf7ae")</f>
        <v>https://pan.quark.cn/s/8a01f2edf7ae</v>
      </c>
      <c r="C1304" t="inlineStr">
        <is>
          <t>184.1MB</t>
        </is>
      </c>
      <c r="D1304" t="inlineStr">
        <is>
          <t>/一年级/下册/教材/K12/学龄儿童家长</t>
        </is>
      </c>
      <c r="E1304" t="inlineStr">
        <is>
          <t>https://dcn8qexvg13r.feishu.cn/share/base/query/shrcnMqxwwRkV3NUIUxPeab3sec</t>
        </is>
      </c>
      <c r="F1304" t="inlineStr">
        <is>
          <t>请添加微信：k846211</t>
        </is>
      </c>
      <c r="G1304" t="inlineStr">
        <is>
          <t>2026-02-06</t>
        </is>
      </c>
    </row>
    <row r="1305" ht="25.5" customHeight="1">
      <c r="A1305" t="inlineStr">
        <is>
          <t>小学语文《课课贴彩色版》 1年级下册</t>
        </is>
      </c>
      <c r="B1305" s="2" t="str">
        <f>=HYPERLINK("https://pan.quark.cn/s/fd0cb4eb7e5b", "https://pan.quark.cn/s/fd0cb4eb7e5b")</f>
        <v>https://pan.quark.cn/s/fd0cb4eb7e5b</v>
      </c>
      <c r="C1305" t="inlineStr">
        <is>
          <t>96.2MB</t>
        </is>
      </c>
      <c r="D1305" t="inlineStr">
        <is>
          <t>/小学语文/课课贴/彩色版/1年级下册/K12/学龄儿童家长</t>
        </is>
      </c>
      <c r="E1305" t="inlineStr">
        <is>
          <t>https://dcn8qexvg13r.feishu.cn/share/base/query/shrcnMqxwwRkV3NUIUxPeab3sec</t>
        </is>
      </c>
      <c r="F1305" t="inlineStr">
        <is>
          <t>请添加微信：k846211</t>
        </is>
      </c>
      <c r="G1305" t="inlineStr">
        <is>
          <t>2026-02-06</t>
        </is>
      </c>
    </row>
    <row r="1306" ht="25.5" customHeight="1">
      <c r="A1306" t="inlineStr">
        <is>
          <t>一年级（下）语文+重点知识预习(1).pdf</t>
        </is>
      </c>
      <c r="B1306" s="2" t="str">
        <f>=HYPERLINK("https://pan.quark.cn/s/c6f1ba3bf6aa", "https://pan.quark.cn/s/c6f1ba3bf6aa")</f>
        <v>https://pan.quark.cn/s/c6f1ba3bf6aa</v>
      </c>
      <c r="C1306" t="inlineStr">
        <is>
          <t>291.4KB</t>
        </is>
      </c>
      <c r="D1306" t="inlineStr">
        <is>
          <t>/一年级语文/重点知识/预习/语文预习/学龄儿童家长/K12</t>
        </is>
      </c>
      <c r="E1306" t="inlineStr">
        <is>
          <t>https://dcn8qexvg13r.feishu.cn/share/base/query/shrcnMqxwwRkV3NUIUxPeab3sec</t>
        </is>
      </c>
      <c r="F1306" t="inlineStr">
        <is>
          <t>请添加微信：k846211</t>
        </is>
      </c>
      <c r="G1306" t="inlineStr">
        <is>
          <t>2026-02-06</t>
        </is>
      </c>
    </row>
    <row r="1307" ht="25.5" customHeight="1">
      <c r="A1307" t="inlineStr">
        <is>
          <t>二年级（下）语文 26春课文必背内容汇总(1).pdf</t>
        </is>
      </c>
      <c r="B1307" s="2" t="str">
        <f>=HYPERLINK("https://pan.quark.cn/s/51b6420937d6", "https://pan.quark.cn/s/51b6420937d6")</f>
        <v>https://pan.quark.cn/s/51b6420937d6</v>
      </c>
      <c r="C1307" t="inlineStr">
        <is>
          <t>6.1MB</t>
        </is>
      </c>
      <c r="D1307" t="inlineStr">
        <is>
          <t>/二年级语文/课文必背/26春/K12/学龄儿童家长</t>
        </is>
      </c>
      <c r="E1307" t="inlineStr">
        <is>
          <t>https://dcn8qexvg13r.feishu.cn/share/base/query/shrcnMqxwwRkV3NUIUxPeab3sec</t>
        </is>
      </c>
      <c r="F1307" t="inlineStr">
        <is>
          <t>请添加微信：k846211</t>
        </is>
      </c>
      <c r="G1307" t="inlineStr">
        <is>
          <t>2026-02-06</t>
        </is>
      </c>
    </row>
    <row r="1308" ht="25.5" customHeight="1">
      <c r="A1308" t="inlineStr">
        <is>
          <t>三年级（下）语文 26春课文必背内容汇总(1).pdf</t>
        </is>
      </c>
      <c r="B1308" s="2" t="str">
        <f>=HYPERLINK("https://pan.quark.cn/s/db960f45396f", "https://pan.quark.cn/s/db960f45396f")</f>
        <v>https://pan.quark.cn/s/db960f45396f</v>
      </c>
      <c r="C1308" t="inlineStr">
        <is>
          <t>13.4MB</t>
        </is>
      </c>
      <c r="D1308" t="inlineStr">
        <is>
          <t>/三年级语文/课文必背/26春/K12/学龄儿童家长</t>
        </is>
      </c>
      <c r="E1308" t="inlineStr">
        <is>
          <t>https://dcn8qexvg13r.feishu.cn/share/base/query/shrcnMqxwwRkV3NUIUxPeab3sec</t>
        </is>
      </c>
      <c r="F1308" t="inlineStr">
        <is>
          <t>请添加微信：k846211</t>
        </is>
      </c>
      <c r="G1308" t="inlineStr">
        <is>
          <t>2026-02-06</t>
        </is>
      </c>
    </row>
    <row r="1309" ht="25.5" customHeight="1">
      <c r="A1309" t="inlineStr">
        <is>
          <t>四年级（下）语文 预习必背知识点汇总(1).pdf</t>
        </is>
      </c>
      <c r="B1309" s="2" t="str">
        <f>=HYPERLINK("https://pan.quark.cn/s/1b68559895cb", "https://pan.quark.cn/s/1b68559895cb")</f>
        <v>https://pan.quark.cn/s/1b68559895cb</v>
      </c>
      <c r="C1309" t="inlineStr">
        <is>
          <t>15.5MB</t>
        </is>
      </c>
      <c r="D1309" t="inlineStr">
        <is>
          <t>/四年级语文/预习/知识点/必背/K12/学龄儿童家长</t>
        </is>
      </c>
      <c r="E1309" t="inlineStr">
        <is>
          <t>https://dcn8qexvg13r.feishu.cn/share/base/query/shrcnMqxwwRkV3NUIUxPeab3sec</t>
        </is>
      </c>
      <c r="F1309" t="inlineStr">
        <is>
          <t>请添加微信：k846211</t>
        </is>
      </c>
      <c r="G1309" t="inlineStr">
        <is>
          <t>2026-02-06</t>
        </is>
      </c>
    </row>
    <row r="1310" ht="25.5" customHeight="1">
      <c r="A1310" t="inlineStr">
        <is>
          <t>五年级（下）语文+寒假预习课内重点考点汇总(1).pdf</t>
        </is>
      </c>
      <c r="B1310" s="2" t="str">
        <f>=HYPERLINK("https://pan.quark.cn/s/40b1d5137a89", "https://pan.quark.cn/s/40b1d5137a89")</f>
        <v>https://pan.quark.cn/s/40b1d5137a89</v>
      </c>
      <c r="C1310" t="inlineStr">
        <is>
          <t>180.5KB</t>
        </is>
      </c>
      <c r="D1310" t="inlineStr">
        <is>
          <t>/五年级语文/寒假预习/课内重点/考点汇总/K12/学龄儿童家长</t>
        </is>
      </c>
      <c r="E1310" t="inlineStr">
        <is>
          <t>https://dcn8qexvg13r.feishu.cn/share/base/query/shrcnMqxwwRkV3NUIUxPeab3sec</t>
        </is>
      </c>
      <c r="F1310" t="inlineStr">
        <is>
          <t>请添加微信：k846211</t>
        </is>
      </c>
      <c r="G1310" t="inlineStr">
        <is>
          <t>2026-02-06</t>
        </is>
      </c>
    </row>
    <row r="1311" ht="25.5" customHeight="1">
      <c r="A1311" t="inlineStr">
        <is>
          <t>六年级（下）语文 古诗词背诵知识点与练习(1).pdf</t>
        </is>
      </c>
      <c r="B1311" s="2" t="str">
        <f>=HYPERLINK("https://pan.quark.cn/s/e1c0bddf1476", "https://pan.quark.cn/s/e1c0bddf1476")</f>
        <v>https://pan.quark.cn/s/e1c0bddf1476</v>
      </c>
      <c r="C1311" t="inlineStr">
        <is>
          <t>20.7MB</t>
        </is>
      </c>
      <c r="D1311" t="inlineStr">
        <is>
          <t>/六年级语文/古诗词背诵/知识点/练习/K12/学龄儿童家长</t>
        </is>
      </c>
      <c r="E1311" t="inlineStr">
        <is>
          <t>https://dcn8qexvg13r.feishu.cn/share/base/query/shrcnMqxwwRkV3NUIUxPeab3sec</t>
        </is>
      </c>
      <c r="F1311" t="inlineStr">
        <is>
          <t>请添加微信：k846211</t>
        </is>
      </c>
      <c r="G1311" t="inlineStr">
        <is>
          <t>2026-02-06</t>
        </is>
      </c>
    </row>
    <row r="1312" ht="25.5" customHeight="1">
      <c r="A1312" t="inlineStr">
        <is>
          <t>北大派派🈴集</t>
        </is>
      </c>
      <c r="B1312" s="2" t="str">
        <f>=HYPERLINK("https://pan.quark.cn/s/4a2448aa5163", "https://pan.quark.cn/s/4a2448aa5163")</f>
        <v>https://pan.quark.cn/s/4a2448aa5163</v>
      </c>
      <c r="C1312" t="inlineStr">
        <is>
          <t>88.2GB</t>
        </is>
      </c>
      <c r="D1312" t="inlineStr">
        <is>
          <t>/北大/大学生</t>
        </is>
      </c>
      <c r="E1312" t="inlineStr">
        <is>
          <t>https://dcn8qexvg13r.feishu.cn/share/base/query/shrcnMqxwwRkV3NUIUxPeab3sec</t>
        </is>
      </c>
      <c r="F1312" t="inlineStr">
        <is>
          <t>请添加微信：k846211</t>
        </is>
      </c>
      <c r="G1312" t="inlineStr">
        <is>
          <t>2026-02-06</t>
        </is>
      </c>
    </row>
    <row r="1313" ht="25.5" customHeight="1">
      <c r="A1313" t="inlineStr">
        <is>
          <t>洋葱人物课</t>
        </is>
      </c>
      <c r="B1313" s="2" t="str">
        <f>=HYPERLINK("https://pan.quark.cn/s/4d7400b625ec", "https://pan.quark.cn/s/4d7400b625ec")</f>
        <v>https://pan.quark.cn/s/4d7400b625ec</v>
      </c>
      <c r="C1313" t="inlineStr">
        <is>
          <t>9.6GB</t>
        </is>
      </c>
      <c r="D1313" t="inlineStr">
        <is>
          <t>/人物/课程/人物分析/白领/大学生</t>
        </is>
      </c>
      <c r="E1313" t="inlineStr">
        <is>
          <t>https://dcn8qexvg13r.feishu.cn/share/base/query/shrcnMqxwwRkV3NUIUxPeab3sec</t>
        </is>
      </c>
      <c r="F1313" t="inlineStr">
        <is>
          <t>请添加微信：k846211</t>
        </is>
      </c>
      <c r="G1313" t="inlineStr">
        <is>
          <t>2026-02-06</t>
        </is>
      </c>
    </row>
    <row r="1314" ht="25.5" customHeight="1">
      <c r="A1314" t="inlineStr">
        <is>
          <t>26春《一本预备三年级下册》人教PEP版英语</t>
        </is>
      </c>
      <c r="B1314" s="2" t="str">
        <f>=HYPERLINK("https://pan.quark.cn/s/d0751cb5be1b", "https://pan.quark.cn/s/d0751cb5be1b")</f>
        <v>https://pan.quark.cn/s/d0751cb5be1b</v>
      </c>
      <c r="C1314" t="inlineStr">
        <is>
          <t>217.8MB</t>
        </is>
      </c>
      <c r="D1314" t="inlineStr">
        <is>
          <t>/三年级下册/人教PEP版/英语/预备教材/K12/学龄儿童家长</t>
        </is>
      </c>
      <c r="E1314" t="inlineStr">
        <is>
          <t>https://dcn8qexvg13r.feishu.cn/share/base/query/shrcnMqxwwRkV3NUIUxPeab3sec</t>
        </is>
      </c>
      <c r="F1314" t="inlineStr">
        <is>
          <t>请添加微信：k846211</t>
        </is>
      </c>
      <c r="G1314" t="inlineStr">
        <is>
          <t>2026-02-06</t>
        </is>
      </c>
    </row>
    <row r="1315" ht="25.5" customHeight="1">
      <c r="A1315" t="inlineStr">
        <is>
          <t>【市长笔记系列史料】13册</t>
        </is>
      </c>
      <c r="B1315" s="2" t="str">
        <f>=HYPERLINK("https://pan.quark.cn/s/5e17e6054d5e", "https://pan.quark.cn/s/5e17e6054d5e")</f>
        <v>https://pan.quark.cn/s/5e17e6054d5e</v>
      </c>
      <c r="C1315" t="inlineStr">
        <is>
          <t>1001.6MB</t>
        </is>
      </c>
      <c r="D1315" t="inlineStr">
        <is>
          <t>/市长笔记/史料/政治/历史/管理者/特定行业从业者</t>
        </is>
      </c>
      <c r="E1315" t="inlineStr">
        <is>
          <t>https://dcn8qexvg13r.feishu.cn/share/base/query/shrcnMqxwwRkV3NUIUxPeab3sec</t>
        </is>
      </c>
      <c r="F1315" t="inlineStr">
        <is>
          <t>请添加微信：k846211</t>
        </is>
      </c>
      <c r="G1315" t="inlineStr">
        <is>
          <t>2026-02-06</t>
        </is>
      </c>
    </row>
    <row r="1316" ht="25.5" customHeight="1">
      <c r="A1316" t="inlineStr">
        <is>
          <t>【常务副市长系列史料】19册</t>
        </is>
      </c>
      <c r="B1316" s="2" t="str">
        <f>=HYPERLINK("https://pan.quark.cn/s/f586dd98b5f9", "https://pan.quark.cn/s/f586dd98b5f9")</f>
        <v>https://pan.quark.cn/s/f586dd98b5f9</v>
      </c>
      <c r="C1316" t="inlineStr">
        <is>
          <t>743.0MB</t>
        </is>
      </c>
      <c r="D1316" t="inlineStr">
        <is>
          <t>/常务副市长/史料/政治/历史/管理者/特定行业从业者</t>
        </is>
      </c>
      <c r="E1316" t="inlineStr">
        <is>
          <t>https://dcn8qexvg13r.feishu.cn/share/base/query/shrcnMqxwwRkV3NUIUxPeab3sec</t>
        </is>
      </c>
      <c r="F1316" t="inlineStr">
        <is>
          <t>请添加微信：k846211</t>
        </is>
      </c>
      <c r="G1316" t="inlineStr">
        <is>
          <t>2026-02-06</t>
        </is>
      </c>
    </row>
    <row r="1317" ht="25.5" customHeight="1">
      <c r="A1317" t="inlineStr">
        <is>
          <t>【官场小说】</t>
        </is>
      </c>
      <c r="B1317" s="2" t="str">
        <f>=HYPERLINK("https://pan.quark.cn/s/117573ed1b6c", "https://pan.quark.cn/s/117573ed1b6c")</f>
        <v>https://pan.quark.cn/s/117573ed1b6c</v>
      </c>
      <c r="C1317" t="inlineStr">
        <is>
          <t>240.8GB</t>
        </is>
      </c>
      <c r="D1317" t="inlineStr">
        <is>
          <t>/官场/小说/职场策略/权力博弈/考研/考公/考证党/管理者</t>
        </is>
      </c>
      <c r="E1317" t="inlineStr">
        <is>
          <t>https://dcn8qexvg13r.feishu.cn/share/base/query/shrcnMqxwwRkV3NUIUxPeab3sec</t>
        </is>
      </c>
      <c r="F1317" t="inlineStr">
        <is>
          <t>请添加微信：k846211</t>
        </is>
      </c>
      <c r="G1317" t="inlineStr">
        <is>
          <t>2026-02-06</t>
        </is>
      </c>
    </row>
    <row r="1318" ht="25.5" customHeight="1">
      <c r="A1318" t="inlineStr">
        <is>
          <t>《湖湘文库：700册》附书目【101.50GB】</t>
        </is>
      </c>
      <c r="B1318" s="2" t="str">
        <f>=HYPERLINK("https://pan.quark.cn/s/fc5afa6e6150", "https://pan.quark.cn/s/fc5afa6e6150")</f>
        <v>https://pan.quark.cn/s/fc5afa6e6150</v>
      </c>
      <c r="C1318" t="inlineStr">
        <is>
          <t>101.4GB</t>
        </is>
      </c>
      <c r="D1318" t="inlineStr">
        <is>
          <t>/湖湘文化/地方文献/文献合集/大学生/特定行业从业者</t>
        </is>
      </c>
      <c r="E1318" t="inlineStr">
        <is>
          <t>https://dcn8qexvg13r.feishu.cn/share/base/query/shrcnMqxwwRkV3NUIUxPeab3sec</t>
        </is>
      </c>
      <c r="F1318" t="inlineStr">
        <is>
          <t>请添加微信：k846211</t>
        </is>
      </c>
      <c r="G1318" t="inlineStr">
        <is>
          <t>2026-02-06</t>
        </is>
      </c>
    </row>
    <row r="1319" ht="25.5" customHeight="1">
      <c r="A1319" t="inlineStr">
        <is>
          <t>【中华再造善本.唐宋编PDF版】_758册</t>
        </is>
      </c>
      <c r="B1319" s="2" t="str">
        <f>=HYPERLINK("https://pan.quark.cn/s/a8123203c73e", "https://pan.quark.cn/s/a8123203c73e")</f>
        <v>https://pan.quark.cn/s/a8123203c73e</v>
      </c>
      <c r="C1319" t="inlineStr">
        <is>
          <t>332.2GB</t>
        </is>
      </c>
      <c r="D1319" t="inlineStr">
        <is>
          <t>/中华再造善本/唐宋文献/古籍PDF/学术研究/特定行业从业者/大学生</t>
        </is>
      </c>
      <c r="E1319" t="inlineStr">
        <is>
          <t>https://dcn8qexvg13r.feishu.cn/share/base/query/shrcnMqxwwRkV3NUIUxPeab3sec</t>
        </is>
      </c>
      <c r="F1319" t="inlineStr">
        <is>
          <t>请添加微信：k846211</t>
        </is>
      </c>
      <c r="G1319" t="inlineStr">
        <is>
          <t>2026-02-06</t>
        </is>
      </c>
    </row>
    <row r="1320" ht="25.5" customHeight="1">
      <c r="A1320" t="inlineStr">
        <is>
          <t>02中华各地善本珍本文库【640.96GB·4001册】</t>
        </is>
      </c>
      <c r="B1320" s="2" t="str">
        <f>=HYPERLINK("https://pan.quark.cn/s/a67aff600af9", "https://pan.quark.cn/s/a67aff600af9")</f>
        <v>https://pan.quark.cn/s/a67aff600af9</v>
      </c>
      <c r="C1320" t="inlineStr">
        <is>
          <t>558.4GB</t>
        </is>
      </c>
      <c r="D1320" t="inlineStr">
        <is>
          <t>/中华各地/善本/珍本/文献/特定行业从业者/其他</t>
        </is>
      </c>
      <c r="E1320" t="inlineStr">
        <is>
          <t>https://dcn8qexvg13r.feishu.cn/share/base/query/shrcnMqxwwRkV3NUIUxPeab3sec</t>
        </is>
      </c>
      <c r="F1320" t="inlineStr">
        <is>
          <t>请添加微信：k846211</t>
        </is>
      </c>
      <c r="G1320" t="inlineStr">
        <is>
          <t>2026-02-06</t>
        </is>
      </c>
    </row>
    <row r="1321" ht="25.5" customHeight="1">
      <c r="A1321" t="inlineStr">
        <is>
          <t>【付费文章】</t>
        </is>
      </c>
      <c r="B1321" s="2" t="str">
        <f>=HYPERLINK("https://pan.quark.cn/s/dd211613e1c8", "https://pan.quark.cn/s/dd211613e1c8")</f>
        <v>https://pan.quark.cn/s/dd211613e1c8</v>
      </c>
      <c r="C1321" t="inlineStr">
        <is>
          <t>1.2GB</t>
        </is>
      </c>
      <c r="D1321" t="inlineStr">
        <is>
          <t>/付费/文章/其他</t>
        </is>
      </c>
      <c r="E1321" t="inlineStr">
        <is>
          <t>https://dcn8qexvg13r.feishu.cn/share/base/query/shrcnMqxwwRkV3NUIUxPeab3sec</t>
        </is>
      </c>
      <c r="F1321" t="inlineStr">
        <is>
          <t>请添加微信：k846211</t>
        </is>
      </c>
      <c r="G1321" t="inlineStr">
        <is>
          <t>2026-02-06</t>
        </is>
      </c>
    </row>
    <row r="1322" ht="25.5" customHeight="1">
      <c r="A1322" t="inlineStr">
        <is>
          <t>🌲💫作业帮《初中数学52个解题大招》</t>
        </is>
      </c>
      <c r="B1322" s="2" t="str">
        <f>=HYPERLINK("https://pan.quark.cn/s/61cb47e2789f", "https://pan.quark.cn/s/61cb47e2789f")</f>
        <v>https://pan.quark.cn/s/61cb47e2789f</v>
      </c>
      <c r="C1322" t="inlineStr">
        <is>
          <t>950.5MB</t>
        </is>
      </c>
      <c r="D1322" t="inlineStr">
        <is>
          <t>/初中数学/解题技巧/作业帮/52个大招/K12/学龄儿童家长</t>
        </is>
      </c>
      <c r="E1322" t="inlineStr">
        <is>
          <t>https://dcn8qexvg13r.feishu.cn/share/base/query/shrcnMqxwwRkV3NUIUxPeab3sec</t>
        </is>
      </c>
      <c r="F1322" t="inlineStr">
        <is>
          <t>请添加微信：k846211</t>
        </is>
      </c>
      <c r="G1322" t="inlineStr">
        <is>
          <t>2026-02-07</t>
        </is>
      </c>
    </row>
    <row r="1323" ht="25.5" customHeight="1">
      <c r="A1323" t="inlineStr">
        <is>
          <t>白瑞家庭教育大合集</t>
        </is>
      </c>
      <c r="B1323" s="2" t="str">
        <f>=HYPERLINK("https://pan.quark.cn/s/61d21886cddd", "https://pan.quark.cn/s/61d21886cddd")</f>
        <v>https://pan.quark.cn/s/61d21886cddd</v>
      </c>
      <c r="C1323" t="inlineStr">
        <is>
          <t>99.1GB</t>
        </is>
      </c>
      <c r="D1323" t="inlineStr">
        <is>
          <t>/家庭教育/白瑞/育儿指导/教育方法/宝妈/家长群体/学龄儿童家长</t>
        </is>
      </c>
      <c r="E1323" t="inlineStr">
        <is>
          <t>https://dcn8qexvg13r.feishu.cn/share/base/query/shrcnMqxwwRkV3NUIUxPeab3sec</t>
        </is>
      </c>
      <c r="F1323" t="inlineStr">
        <is>
          <t>请添加微信：k846211</t>
        </is>
      </c>
      <c r="G1323" t="inlineStr">
        <is>
          <t>2026-02-07</t>
        </is>
      </c>
    </row>
    <row r="1324" ht="25.5" customHeight="1">
      <c r="A1324" t="inlineStr">
        <is>
          <t>《墨菲定律：洞悉人性，受益终身的黄金法则》全集音频</t>
        </is>
      </c>
      <c r="B1324" s="2" t="str">
        <f>=HYPERLINK("https://pan.quark.cn/s/d9360c70f4e8", "https://pan.quark.cn/s/d9360c70f4e8")</f>
        <v>https://pan.quark.cn/s/d9360c70f4e8</v>
      </c>
      <c r="C1324" t="inlineStr">
        <is>
          <t>220.3MB</t>
        </is>
      </c>
      <c r="D1324" t="inlineStr">
        <is>
          <t>/墨菲定律/人性洞察/音频/黄金法则/白领/管理者</t>
        </is>
      </c>
      <c r="E1324" t="inlineStr">
        <is>
          <t>https://dcn8qexvg13r.feishu.cn/share/base/query/shrcnMqxwwRkV3NUIUxPeab3sec</t>
        </is>
      </c>
      <c r="F1324" t="inlineStr">
        <is>
          <t>请添加微信：k846211</t>
        </is>
      </c>
      <c r="G1324" t="inlineStr">
        <is>
          <t>2026-02-07</t>
        </is>
      </c>
    </row>
    <row r="1325" ht="25.5" customHeight="1">
      <c r="A1325" t="inlineStr">
        <is>
          <t>名人名校英文励志演讲100集</t>
        </is>
      </c>
      <c r="B1325" s="2" t="str">
        <f>=HYPERLINK("https://pan.quark.cn/s/9a9490eff094", "https://pan.quark.cn/s/9a9490eff094")</f>
        <v>https://pan.quark.cn/s/9a9490eff094</v>
      </c>
      <c r="C1325" t="inlineStr">
        <is>
          <t>17.5GB</t>
        </is>
      </c>
      <c r="D1325" t="inlineStr">
        <is>
          <t>/名人演讲/名校演讲/英文演讲/励志演讲/大学生/语言</t>
        </is>
      </c>
      <c r="E1325" t="inlineStr">
        <is>
          <t>https://dcn8qexvg13r.feishu.cn/share/base/query/shrcnMqxwwRkV3NUIUxPeab3sec</t>
        </is>
      </c>
      <c r="F1325" t="inlineStr">
        <is>
          <t>请添加微信：k846211</t>
        </is>
      </c>
      <c r="G1325" t="inlineStr">
        <is>
          <t>2026-02-07</t>
        </is>
      </c>
    </row>
    <row r="1326" ht="25.5" customHeight="1">
      <c r="A1326" t="inlineStr">
        <is>
          <t>万门大学《超效率指南：如何掌控你的时间和未来》</t>
        </is>
      </c>
      <c r="B1326" s="2" t="str">
        <f>=HYPERLINK("https://pan.quark.cn/s/d336dcfa0cd9", "https://pan.quark.cn/s/d336dcfa0cd9")</f>
        <v>https://pan.quark.cn/s/d336dcfa0cd9</v>
      </c>
      <c r="C1326" t="inlineStr">
        <is>
          <t>949.5MB</t>
        </is>
      </c>
      <c r="D1326" t="inlineStr">
        <is>
          <t>/时间管理/效率提升/自我提升/超效率指南/大学生/白领</t>
        </is>
      </c>
      <c r="E1326" t="inlineStr">
        <is>
          <t>https://dcn8qexvg13r.feishu.cn/share/base/query/shrcnMqxwwRkV3NUIUxPeab3sec</t>
        </is>
      </c>
      <c r="F1326" t="inlineStr">
        <is>
          <t>请添加微信：k846211</t>
        </is>
      </c>
      <c r="G1326" t="inlineStr">
        <is>
          <t>2026-02-07</t>
        </is>
      </c>
    </row>
    <row r="1327" ht="25.5" customHeight="1">
      <c r="A1327" t="inlineStr">
        <is>
          <t>万门大学《思维导图·6小时找到适合你的高效学习法》</t>
        </is>
      </c>
      <c r="B1327" s="2" t="str">
        <f>=HYPERLINK("https://pan.quark.cn/s/df53c514dc32", "https://pan.quark.cn/s/df53c514dc32")</f>
        <v>https://pan.quark.cn/s/df53c514dc32</v>
      </c>
      <c r="C1327" t="inlineStr">
        <is>
          <t>3.5GB</t>
        </is>
      </c>
      <c r="D1327" t="inlineStr">
        <is>
          <t>/思维导图/高效学习法/学习方法/大学生/考研/考公/考证党/白领</t>
        </is>
      </c>
      <c r="E1327" t="inlineStr">
        <is>
          <t>https://dcn8qexvg13r.feishu.cn/share/base/query/shrcnMqxwwRkV3NUIUxPeab3sec</t>
        </is>
      </c>
      <c r="F1327" t="inlineStr">
        <is>
          <t>请添加微信：k846211</t>
        </is>
      </c>
      <c r="G1327" t="inlineStr">
        <is>
          <t>2026-02-07</t>
        </is>
      </c>
    </row>
    <row r="1328" ht="25.5" customHeight="1">
      <c r="A1328" t="inlineStr">
        <is>
          <t>焦虑症的自救：从神经系统角度出发治愈焦虑症_(完结)</t>
        </is>
      </c>
      <c r="B1328" s="2" t="str">
        <f>=HYPERLINK("https://pan.quark.cn/s/eedb28aa1598", "https://pan.quark.cn/s/eedb28aa1598")</f>
        <v>https://pan.quark.cn/s/eedb28aa1598</v>
      </c>
      <c r="C1328" t="inlineStr">
        <is>
          <t>182.7MB</t>
        </is>
      </c>
      <c r="D1328" t="inlineStr">
        <is>
          <t>/焦虑症/神经系统/治愈/自救/白领/其他</t>
        </is>
      </c>
      <c r="E1328" t="inlineStr">
        <is>
          <t>https://dcn8qexvg13r.feishu.cn/share/base/query/shrcnMqxwwRkV3NUIUxPeab3sec</t>
        </is>
      </c>
      <c r="F1328" t="inlineStr">
        <is>
          <t>请添加微信：k846211</t>
        </is>
      </c>
      <c r="G1328" t="inlineStr">
        <is>
          <t>2026-02-07</t>
        </is>
      </c>
    </row>
    <row r="1329" ht="25.5" customHeight="1">
      <c r="A1329" t="inlineStr">
        <is>
          <t>少年厌学：青少年心理专家和12个少年的深度对话</t>
        </is>
      </c>
      <c r="B1329" s="2" t="str">
        <f>=HYPERLINK("https://pan.quark.cn/s/436d91d9897d", "https://pan.quark.cn/s/436d91d9897d")</f>
        <v>https://pan.quark.cn/s/436d91d9897d</v>
      </c>
      <c r="C1329" t="inlineStr">
        <is>
          <t>47.6MB</t>
        </is>
      </c>
      <c r="D1329" t="inlineStr">
        <is>
          <t>/少年厌学/青少年心理/深度对话/家长群体/学龄儿童家长</t>
        </is>
      </c>
      <c r="E1329" t="inlineStr">
        <is>
          <t>https://dcn8qexvg13r.feishu.cn/share/base/query/shrcnMqxwwRkV3NUIUxPeab3sec</t>
        </is>
      </c>
      <c r="F1329" t="inlineStr">
        <is>
          <t>请添加微信：k846211</t>
        </is>
      </c>
      <c r="G1329" t="inlineStr">
        <is>
          <t>2026-02-07</t>
        </is>
      </c>
    </row>
    <row r="1330" ht="25.5" customHeight="1">
      <c r="A1330" t="inlineStr">
        <is>
          <t>焦虑心理学：戒除恐惧、焦虑、拖延和抑郁，保持专注_(完结)</t>
        </is>
      </c>
      <c r="B1330" s="2" t="str">
        <f>=HYPERLINK("https://pan.quark.cn/s/b02e6b4b7209", "https://pan.quark.cn/s/b02e6b4b7209")</f>
        <v>https://pan.quark.cn/s/b02e6b4b7209</v>
      </c>
      <c r="C1330" t="inlineStr">
        <is>
          <t>374.5MB</t>
        </is>
      </c>
      <c r="D1330" t="inlineStr">
        <is>
          <t>/焦虑心理学/情绪管理/专注/心理自助/白领/管理者</t>
        </is>
      </c>
      <c r="E1330" t="inlineStr">
        <is>
          <t>https://dcn8qexvg13r.feishu.cn/share/base/query/shrcnMqxwwRkV3NUIUxPeab3sec</t>
        </is>
      </c>
      <c r="F1330" t="inlineStr">
        <is>
          <t>请添加微信：k846211</t>
        </is>
      </c>
      <c r="G1330" t="inlineStr">
        <is>
          <t>2026-02-07</t>
        </is>
      </c>
    </row>
    <row r="1331" ht="25.5" customHeight="1">
      <c r="A1331" t="inlineStr">
        <is>
          <t>唯库-30天心理学训练营（完结）【视频 音频】</t>
        </is>
      </c>
      <c r="B1331" s="2" t="str">
        <f>=HYPERLINK("https://pan.quark.cn/s/9b138661cb43", "https://pan.quark.cn/s/9b138661cb43")</f>
        <v>https://pan.quark.cn/s/9b138661cb43</v>
      </c>
      <c r="C1331" t="inlineStr">
        <is>
          <t>562.7MB</t>
        </is>
      </c>
      <c r="D1331" t="inlineStr">
        <is>
          <t>/心理学/30天训练营/视频/音频/技能入门/白领</t>
        </is>
      </c>
      <c r="E1331" t="inlineStr">
        <is>
          <t>https://dcn8qexvg13r.feishu.cn/share/base/query/shrcnMqxwwRkV3NUIUxPeab3sec</t>
        </is>
      </c>
      <c r="F1331" t="inlineStr">
        <is>
          <t>请添加微信：k846211</t>
        </is>
      </c>
      <c r="G1331" t="inlineStr">
        <is>
          <t>2026-02-07</t>
        </is>
      </c>
    </row>
    <row r="1332" ht="25.5" customHeight="1">
      <c r="A1332" t="inlineStr">
        <is>
          <t>情绪管理：不生气你就赢了_缓解焦虑、压力、轻松入睡_(完结)</t>
        </is>
      </c>
      <c r="B1332" s="2" t="str">
        <f>=HYPERLINK("https://pan.quark.cn/s/ac8551f2df14", "https://pan.quark.cn/s/ac8551f2df14")</f>
        <v>https://pan.quark.cn/s/ac8551f2df14</v>
      </c>
      <c r="C1332" t="inlineStr">
        <is>
          <t>949.2MB</t>
        </is>
      </c>
      <c r="D1332" t="inlineStr">
        <is>
          <t>/情绪管理/缓解焦虑/压力缓解/轻松入睡/白领/其他</t>
        </is>
      </c>
      <c r="E1332" t="inlineStr">
        <is>
          <t>https://dcn8qexvg13r.feishu.cn/share/base/query/shrcnMqxwwRkV3NUIUxPeab3sec</t>
        </is>
      </c>
      <c r="F1332" t="inlineStr">
        <is>
          <t>请添加微信：k846211</t>
        </is>
      </c>
      <c r="G1332" t="inlineStr">
        <is>
          <t>2026-02-07</t>
        </is>
      </c>
    </row>
    <row r="1333" ht="25.5" customHeight="1">
      <c r="A1333" t="inlineStr">
        <is>
          <t>成年人要懂一点人性：没人告诉你的真话_为人处世潜规则_厚黑学</t>
        </is>
      </c>
      <c r="B1333" s="2" t="str">
        <f>=HYPERLINK("https://pan.quark.cn/s/8c76d5e922c7", "https://pan.quark.cn/s/8c76d5e922c7")</f>
        <v>https://pan.quark.cn/s/8c76d5e922c7</v>
      </c>
      <c r="C1333" t="inlineStr">
        <is>
          <t>323.0MB</t>
        </is>
      </c>
      <c r="D1333" t="inlineStr">
        <is>
          <t>/人性/为人处世/潜规则/厚黑学/白领/管理者</t>
        </is>
      </c>
      <c r="E1333" t="inlineStr">
        <is>
          <t>https://dcn8qexvg13r.feishu.cn/share/base/query/shrcnMqxwwRkV3NUIUxPeab3sec</t>
        </is>
      </c>
      <c r="F1333" t="inlineStr">
        <is>
          <t>请添加微信：k846211</t>
        </is>
      </c>
      <c r="G1333" t="inlineStr">
        <is>
          <t>2026-02-07</t>
        </is>
      </c>
    </row>
    <row r="1334" ht="25.5" customHeight="1">
      <c r="A1334" t="inlineStr">
        <is>
          <t>自律力：你有多自律，就有多自由丨培养小习惯，实现大改变_(完结)</t>
        </is>
      </c>
      <c r="B1334" s="2" t="str">
        <f>=HYPERLINK("https://pan.quark.cn/s/ff9fcdaf61dc", "https://pan.quark.cn/s/ff9fcdaf61dc")</f>
        <v>https://pan.quark.cn/s/ff9fcdaf61dc</v>
      </c>
      <c r="C1334" t="inlineStr">
        <is>
          <t>36.6MB</t>
        </is>
      </c>
      <c r="D1334" t="inlineStr">
        <is>
          <t>/自律力/习惯培养/个人成长/完结课程/白领/管理者</t>
        </is>
      </c>
      <c r="E1334" t="inlineStr">
        <is>
          <t>https://dcn8qexvg13r.feishu.cn/share/base/query/shrcnMqxwwRkV3NUIUxPeab3sec</t>
        </is>
      </c>
      <c r="F1334" t="inlineStr">
        <is>
          <t>请添加微信：k846211</t>
        </is>
      </c>
      <c r="G1334" t="inlineStr">
        <is>
          <t>2026-02-07</t>
        </is>
      </c>
    </row>
    <row r="1335" ht="25.5" customHeight="1">
      <c r="A1335" t="inlineStr">
        <is>
          <t>老子的人生智慧27节视频课</t>
        </is>
      </c>
      <c r="B1335" s="2" t="str">
        <f>=HYPERLINK("https://pan.quark.cn/s/619144670f1e", "https://pan.quark.cn/s/619144670f1e")</f>
        <v>https://pan.quark.cn/s/619144670f1e</v>
      </c>
      <c r="C1335" t="inlineStr">
        <is>
          <t>731.8MB</t>
        </is>
      </c>
      <c r="D1335" t="inlineStr">
        <is>
          <t>/老子/人生智慧/视频课/哲学/白领/管理者</t>
        </is>
      </c>
      <c r="E1335" t="inlineStr">
        <is>
          <t>https://dcn8qexvg13r.feishu.cn/share/base/query/shrcnMqxwwRkV3NUIUxPeab3sec</t>
        </is>
      </c>
      <c r="F1335" t="inlineStr">
        <is>
          <t>请添加微信：k846211</t>
        </is>
      </c>
      <c r="G1335" t="inlineStr">
        <is>
          <t>2026-02-07</t>
        </is>
      </c>
    </row>
    <row r="1336" ht="25.5" customHeight="1">
      <c r="A1336" t="inlineStr">
        <is>
          <t>价值1000元的育儿书籍</t>
        </is>
      </c>
      <c r="B1336" s="2" t="str">
        <f>=HYPERLINK("https://pan.quark.cn/s/35c380fefa22", "https://pan.quark.cn/s/35c380fefa22")</f>
        <v>https://pan.quark.cn/s/35c380fefa22</v>
      </c>
      <c r="C1336" t="inlineStr">
        <is>
          <t>1.5GB</t>
        </is>
      </c>
      <c r="D1336" t="inlineStr">
        <is>
          <t>/育儿/书籍/1000元/宝妈/家长群体/育儿</t>
        </is>
      </c>
      <c r="E1336" t="inlineStr">
        <is>
          <t>https://dcn8qexvg13r.feishu.cn/share/base/query/shrcnMqxwwRkV3NUIUxPeab3sec</t>
        </is>
      </c>
      <c r="F1336" t="inlineStr">
        <is>
          <t>请添加微信：k846211</t>
        </is>
      </c>
      <c r="G1336" t="inlineStr">
        <is>
          <t>2026-02-07</t>
        </is>
      </c>
    </row>
    <row r="1337" ht="25.5" customHeight="1">
      <c r="A1337" t="inlineStr">
        <is>
          <t xml:space="preserve">张沛超：中国人的心理治疗音频20讲 </t>
        </is>
      </c>
      <c r="B1337" s="2" t="str">
        <f>=HYPERLINK("https://pan.quark.cn/s/fe8c90f2ac8a", "https://pan.quark.cn/s/fe8c90f2ac8a")</f>
        <v>https://pan.quark.cn/s/fe8c90f2ac8a</v>
      </c>
      <c r="C1337" t="inlineStr">
        <is>
          <t>411.5MB</t>
        </is>
      </c>
      <c r="D1337" t="inlineStr">
        <is>
          <t>/心理治疗/音频/中国文化/心理健康/白领/管理者</t>
        </is>
      </c>
      <c r="E1337" t="inlineStr">
        <is>
          <t>https://dcn8qexvg13r.feishu.cn/share/base/query/shrcnMqxwwRkV3NUIUxPeab3sec</t>
        </is>
      </c>
      <c r="F1337" t="inlineStr">
        <is>
          <t>请添加微信：k846211</t>
        </is>
      </c>
      <c r="G1337" t="inlineStr">
        <is>
          <t>2026-02-07</t>
        </is>
      </c>
    </row>
    <row r="1338" ht="25.5" customHeight="1">
      <c r="A1338" t="inlineStr">
        <is>
          <t>B站精品课《魏知超：心理学通识与新知》(1)</t>
        </is>
      </c>
      <c r="B1338" s="2" t="str">
        <f>=HYPERLINK("https://pan.quark.cn/s/51d63b111e66", "https://pan.quark.cn/s/51d63b111e66")</f>
        <v>https://pan.quark.cn/s/51d63b111e66</v>
      </c>
      <c r="C1338" t="inlineStr">
        <is>
          <t>3.4GB</t>
        </is>
      </c>
      <c r="D1338" t="inlineStr">
        <is>
          <t>/心理学/通识教育/精品课/魏知超/大学生/白领</t>
        </is>
      </c>
      <c r="E1338" t="inlineStr">
        <is>
          <t>https://dcn8qexvg13r.feishu.cn/share/base/query/shrcnMqxwwRkV3NUIUxPeab3sec</t>
        </is>
      </c>
      <c r="F1338" t="inlineStr">
        <is>
          <t>请添加微信：k846211</t>
        </is>
      </c>
      <c r="G1338" t="inlineStr">
        <is>
          <t>2026-02-07</t>
        </is>
      </c>
    </row>
    <row r="1339" ht="25.5" customHeight="1">
      <c r="A1339" t="inlineStr">
        <is>
          <t>姜振宇《MBTI性格分析课》</t>
        </is>
      </c>
      <c r="B1339" s="2" t="str">
        <f>=HYPERLINK("https://pan.quark.cn/s/2d415f338d44", "https://pan.quark.cn/s/2d415f338d44")</f>
        <v>https://pan.quark.cn/s/2d415f338d44</v>
      </c>
      <c r="C1339" t="inlineStr">
        <is>
          <t>1.5GB</t>
        </is>
      </c>
      <c r="D1339" t="inlineStr">
        <is>
          <t>/MBTI/性格分析/心理学/课程/白领/管理者</t>
        </is>
      </c>
      <c r="E1339" t="inlineStr">
        <is>
          <t>https://dcn8qexvg13r.feishu.cn/share/base/query/shrcnMqxwwRkV3NUIUxPeab3sec</t>
        </is>
      </c>
      <c r="F1339" t="inlineStr">
        <is>
          <t>请添加微信：k846211</t>
        </is>
      </c>
      <c r="G1339" t="inlineStr">
        <is>
          <t>2026-02-07</t>
        </is>
      </c>
    </row>
    <row r="1340" ht="25.5" customHeight="1">
      <c r="A1340" t="inlineStr">
        <is>
          <t>《樊登读书 (帆书) 》2025年合集</t>
        </is>
      </c>
      <c r="B1340" s="2" t="str">
        <f>=HYPERLINK("https://pan.quark.cn/s/8416e1515e10", "https://pan.quark.cn/s/8416e1515e10")</f>
        <v>https://pan.quark.cn/s/8416e1515e10</v>
      </c>
      <c r="C1340" t="inlineStr">
        <is>
          <t>5.1GB</t>
        </is>
      </c>
      <c r="D1340" t="inlineStr">
        <is>
          <t>/读书/知识获取/自我提升/听书/白领/管理者</t>
        </is>
      </c>
      <c r="E1340" t="inlineStr">
        <is>
          <t>https://dcn8qexvg13r.feishu.cn/share/base/query/shrcnMqxwwRkV3NUIUxPeab3sec</t>
        </is>
      </c>
      <c r="F1340" t="inlineStr">
        <is>
          <t>请添加微信：k846211</t>
        </is>
      </c>
      <c r="G1340" t="inlineStr">
        <is>
          <t>2026-02-07</t>
        </is>
      </c>
    </row>
    <row r="1341" ht="25.5" customHeight="1">
      <c r="A1341" t="inlineStr">
        <is>
          <t>万门大学《有趣有料心理学》</t>
        </is>
      </c>
      <c r="B1341" s="2" t="str">
        <f>=HYPERLINK("https://pan.quark.cn/s/81e27c99360f", "https://pan.quark.cn/s/81e27c99360f")</f>
        <v>https://pan.quark.cn/s/81e27c99360f</v>
      </c>
      <c r="C1341" t="inlineStr">
        <is>
          <t>17.9GB</t>
        </is>
      </c>
      <c r="D1341" t="inlineStr">
        <is>
          <t>/心理学/课程/有趣/有料/大学生/白领</t>
        </is>
      </c>
      <c r="E1341" t="inlineStr">
        <is>
          <t>https://dcn8qexvg13r.feishu.cn/share/base/query/shrcnMqxwwRkV3NUIUxPeab3sec</t>
        </is>
      </c>
      <c r="F1341" t="inlineStr">
        <is>
          <t>请添加微信：k846211</t>
        </is>
      </c>
      <c r="G1341" t="inlineStr">
        <is>
          <t>2026-02-07</t>
        </is>
      </c>
    </row>
    <row r="1342" ht="25.5" customHeight="1">
      <c r="A1342" t="inlineStr">
        <is>
          <t>孔玮女神全年进阶分享课</t>
        </is>
      </c>
      <c r="B1342" s="2" t="str">
        <f>=HYPERLINK("https://pan.quark.cn/s/ea9fb759acc3", "https://pan.quark.cn/s/ea9fb759acc3")</f>
        <v>https://pan.quark.cn/s/ea9fb759acc3</v>
      </c>
      <c r="C1342" t="inlineStr">
        <is>
          <t>2.6GB</t>
        </is>
      </c>
      <c r="D1342" t="inlineStr">
        <is>
          <t>/孔玮/进阶分享/课程/大学生/考研/考公/考证党</t>
        </is>
      </c>
      <c r="E1342" t="inlineStr">
        <is>
          <t>https://dcn8qexvg13r.feishu.cn/share/base/query/shrcnMqxwwRkV3NUIUxPeab3sec</t>
        </is>
      </c>
      <c r="F1342" t="inlineStr">
        <is>
          <t>请添加微信：k846211</t>
        </is>
      </c>
      <c r="G1342" t="inlineStr">
        <is>
          <t>2026-02-07</t>
        </is>
      </c>
    </row>
    <row r="1343" ht="25.5" customHeight="1">
      <c r="A1343" t="inlineStr">
        <is>
          <t>致独特的你：人格心理学40讲</t>
        </is>
      </c>
      <c r="B1343" s="2" t="str">
        <f>=HYPERLINK("https://pan.quark.cn/s/1a2f6ab0ad60", "https://pan.quark.cn/s/1a2f6ab0ad60")</f>
        <v>https://pan.quark.cn/s/1a2f6ab0ad60</v>
      </c>
      <c r="C1343" t="inlineStr">
        <is>
          <t>1.6GB</t>
        </is>
      </c>
      <c r="D1343" t="inlineStr">
        <is>
          <t>/人格心理学/课程/个人成长/大学生/白领</t>
        </is>
      </c>
      <c r="E1343" t="inlineStr">
        <is>
          <t>https://dcn8qexvg13r.feishu.cn/share/base/query/shrcnMqxwwRkV3NUIUxPeab3sec</t>
        </is>
      </c>
      <c r="F1343" t="inlineStr">
        <is>
          <t>请添加微信：k846211</t>
        </is>
      </c>
      <c r="G1343" t="inlineStr">
        <is>
          <t>2026-02-07</t>
        </is>
      </c>
    </row>
    <row r="1344" ht="25.5" customHeight="1">
      <c r="A1344" t="inlineStr">
        <is>
          <t>表达艺术与情绪疗愈专题实操</t>
        </is>
      </c>
      <c r="B1344" s="2" t="str">
        <f>=HYPERLINK("https://pan.quark.cn/s/acf92f40f8f7", "https://pan.quark.cn/s/acf92f40f8f7")</f>
        <v>https://pan.quark.cn/s/acf92f40f8f7</v>
      </c>
      <c r="C1344" t="inlineStr">
        <is>
          <t>6.7GB</t>
        </is>
      </c>
      <c r="D1344" t="inlineStr">
        <is>
          <t>/表达艺术/情绪疗愈/实操/白领/特定行业从业者</t>
        </is>
      </c>
      <c r="E1344" t="inlineStr">
        <is>
          <t>https://dcn8qexvg13r.feishu.cn/share/base/query/shrcnMqxwwRkV3NUIUxPeab3sec</t>
        </is>
      </c>
      <c r="F1344" t="inlineStr">
        <is>
          <t>请添加微信：k846211</t>
        </is>
      </c>
      <c r="G1344" t="inlineStr">
        <is>
          <t>2026-02-07</t>
        </is>
      </c>
    </row>
    <row r="1345" ht="25.5" customHeight="1">
      <c r="A1345" t="inlineStr">
        <is>
          <t>原生家庭疗愈男性+女性篇课程【课程】【视频】</t>
        </is>
      </c>
      <c r="B1345" s="2" t="str">
        <f>=HYPERLINK("https://pan.quark.cn/s/22bc97689dc8", "https://pan.quark.cn/s/22bc97689dc8")</f>
        <v>https://pan.quark.cn/s/22bc97689dc8</v>
      </c>
      <c r="C1345" t="inlineStr">
        <is>
          <t>6.0GB</t>
        </is>
      </c>
      <c r="D1345" t="inlineStr">
        <is>
          <t>/原生家庭疗愈/男性心理/女性心理/视频课程/白领/其他</t>
        </is>
      </c>
      <c r="E1345" t="inlineStr">
        <is>
          <t>https://dcn8qexvg13r.feishu.cn/share/base/query/shrcnMqxwwRkV3NUIUxPeab3sec</t>
        </is>
      </c>
      <c r="F1345" t="inlineStr">
        <is>
          <t>请添加微信：k846211</t>
        </is>
      </c>
      <c r="G1345" t="inlineStr">
        <is>
          <t>2026-02-07</t>
        </is>
      </c>
    </row>
    <row r="1346" ht="25.5" customHeight="1">
      <c r="A1346" t="inlineStr">
        <is>
          <t>费勇讲《金刚经》《心经》：教你断离一切烦恼更新中</t>
        </is>
      </c>
      <c r="B1346" s="2" t="str">
        <f>=HYPERLINK("https://pan.quark.cn/s/ffd71bea5d71", "https://pan.quark.cn/s/ffd71bea5d71")</f>
        <v>https://pan.quark.cn/s/ffd71bea5d71</v>
      </c>
      <c r="C1346" t="inlineStr">
        <is>
          <t>2.9GB</t>
        </is>
      </c>
      <c r="D1346" t="inlineStr">
        <is>
          <t>/金刚经/心经/断离烦恼/佛教经典/白领/其他</t>
        </is>
      </c>
      <c r="E1346" t="inlineStr">
        <is>
          <t>https://dcn8qexvg13r.feishu.cn/share/base/query/shrcnMqxwwRkV3NUIUxPeab3sec</t>
        </is>
      </c>
      <c r="F1346" t="inlineStr">
        <is>
          <t>请添加微信：k846211</t>
        </is>
      </c>
      <c r="G1346" t="inlineStr">
        <is>
          <t>2026-02-07</t>
        </is>
      </c>
    </row>
    <row r="1347" ht="25.5" customHeight="1">
      <c r="A1347" t="inlineStr">
        <is>
          <t>为你打开独一无二的人生说明书</t>
        </is>
      </c>
      <c r="B1347" s="2" t="str">
        <f>=HYPERLINK("https://pan.quark.cn/s/d03d37dbbbfb", "https://pan.quark.cn/s/d03d37dbbbfb")</f>
        <v>https://pan.quark.cn/s/d03d37dbbbfb</v>
      </c>
      <c r="C1347" t="inlineStr">
        <is>
          <t>1001.9MB</t>
        </is>
      </c>
      <c r="D1347" t="inlineStr">
        <is>
          <t>/人生规划/个人成长/说明书/白领/管理者</t>
        </is>
      </c>
      <c r="E1347" t="inlineStr">
        <is>
          <t>https://dcn8qexvg13r.feishu.cn/share/base/query/shrcnMqxwwRkV3NUIUxPeab3sec</t>
        </is>
      </c>
      <c r="F1347" t="inlineStr">
        <is>
          <t>请添加微信：k846211</t>
        </is>
      </c>
      <c r="G1347" t="inlineStr">
        <is>
          <t>2026-02-07</t>
        </is>
      </c>
    </row>
    <row r="1348" ht="25.5" customHeight="1">
      <c r="A1348" t="inlineStr">
        <is>
          <t>情绪治愈术丨驯服不听话的情绪怪兽（完结）【音频】【文档】</t>
        </is>
      </c>
      <c r="B1348" s="2" t="str">
        <f>=HYPERLINK("https://pan.quark.cn/s/2ddfe1a91b55", "https://pan.quark.cn/s/2ddfe1a91b55")</f>
        <v>https://pan.quark.cn/s/2ddfe1a91b55</v>
      </c>
      <c r="C1348" t="inlineStr">
        <is>
          <t>118.6MB</t>
        </is>
      </c>
      <c r="D1348" t="inlineStr">
        <is>
          <t>/情绪治愈/情绪管理/音频/文档/白领/其他</t>
        </is>
      </c>
      <c r="E1348" t="inlineStr">
        <is>
          <t>https://dcn8qexvg13r.feishu.cn/share/base/query/shrcnMqxwwRkV3NUIUxPeab3sec</t>
        </is>
      </c>
      <c r="F1348" t="inlineStr">
        <is>
          <t>请添加微信：k846211</t>
        </is>
      </c>
      <c r="G1348" t="inlineStr">
        <is>
          <t>2026-02-07</t>
        </is>
      </c>
    </row>
    <row r="1349" ht="25.5" customHeight="1">
      <c r="A1349" t="inlineStr">
        <is>
          <t>心理治疗的13个核心主题课程</t>
        </is>
      </c>
      <c r="B1349" s="2" t="str">
        <f>=HYPERLINK("https://pan.quark.cn/s/3732ee3b08e9", "https://pan.quark.cn/s/3732ee3b08e9")</f>
        <v>https://pan.quark.cn/s/3732ee3b08e9</v>
      </c>
      <c r="C1349" t="inlineStr">
        <is>
          <t>3.5GB</t>
        </is>
      </c>
      <c r="D1349" t="inlineStr">
        <is>
          <t>/心理治疗/核心主题/课程/白领/特定行业从业者</t>
        </is>
      </c>
      <c r="E1349" t="inlineStr">
        <is>
          <t>https://dcn8qexvg13r.feishu.cn/share/base/query/shrcnMqxwwRkV3NUIUxPeab3sec</t>
        </is>
      </c>
      <c r="F1349" t="inlineStr">
        <is>
          <t>请添加微信：k846211</t>
        </is>
      </c>
      <c r="G1349" t="inlineStr">
        <is>
          <t>2026-02-07</t>
        </is>
      </c>
    </row>
    <row r="1350" ht="25.5" customHeight="1">
      <c r="A1350" t="inlineStr">
        <is>
          <t>21天状态提升训练营</t>
        </is>
      </c>
      <c r="B1350" s="2" t="str">
        <f>=HYPERLINK("https://pan.quark.cn/s/e12a3a8464c0", "https://pan.quark.cn/s/e12a3a8464c0")</f>
        <v>https://pan.quark.cn/s/e12a3a8464c0</v>
      </c>
      <c r="C1350" t="inlineStr">
        <is>
          <t>2.4GB</t>
        </is>
      </c>
      <c r="D1350" t="inlineStr">
        <is>
          <t>/状态提升/训练营/21天/自我提升/白领/大学生</t>
        </is>
      </c>
      <c r="E1350" t="inlineStr">
        <is>
          <t>https://dcn8qexvg13r.feishu.cn/share/base/query/shrcnMqxwwRkV3NUIUxPeab3sec</t>
        </is>
      </c>
      <c r="F1350" t="inlineStr">
        <is>
          <t>请添加微信：k846211</t>
        </is>
      </c>
      <c r="G1350" t="inlineStr">
        <is>
          <t>2026-02-07</t>
        </is>
      </c>
    </row>
    <row r="1351" ht="25.5" customHeight="1">
      <c r="A1351" t="inlineStr">
        <is>
          <t>《精神内耗自救指南：有效心理自助的100个练习》摆脱焦虑 活出真实的自我</t>
        </is>
      </c>
      <c r="B1351" s="2" t="str">
        <f>=HYPERLINK("https://pan.quark.cn/s/06533ca311d1", "https://pan.quark.cn/s/06533ca311d1")</f>
        <v>https://pan.quark.cn/s/06533ca311d1</v>
      </c>
      <c r="C1351" t="inlineStr">
        <is>
          <t>46.2MB</t>
        </is>
      </c>
      <c r="D1351" t="inlineStr">
        <is>
          <t>/精神内耗/焦虑/心理自助/练习/白领/其他</t>
        </is>
      </c>
      <c r="E1351" t="inlineStr">
        <is>
          <t>https://dcn8qexvg13r.feishu.cn/share/base/query/shrcnMqxwwRkV3NUIUxPeab3sec</t>
        </is>
      </c>
      <c r="F1351" t="inlineStr">
        <is>
          <t>请添加微信：k846211</t>
        </is>
      </c>
      <c r="G1351" t="inlineStr">
        <is>
          <t>2026-02-07</t>
        </is>
      </c>
    </row>
    <row r="1352" ht="25.5" customHeight="1">
      <c r="A1352" t="inlineStr">
        <is>
          <t>心理学</t>
        </is>
      </c>
      <c r="B1352" s="2" t="str">
        <f>=HYPERLINK("https://pan.quark.cn/s/08e199cfdc08", "https://pan.quark.cn/s/08e199cfdc08")</f>
        <v>https://pan.quark.cn/s/08e199cfdc08</v>
      </c>
      <c r="C1352" t="inlineStr">
        <is>
          <t>2.7GB</t>
        </is>
      </c>
      <c r="D1352" t="inlineStr">
        <is>
          <t>/心理学/社科/心理知识/自我认知/大学生/考研/考公/考证党/白领</t>
        </is>
      </c>
      <c r="E1352" t="inlineStr">
        <is>
          <t>https://dcn8qexvg13r.feishu.cn/share/base/query/shrcnMqxwwRkV3NUIUxPeab3sec</t>
        </is>
      </c>
      <c r="F1352" t="inlineStr">
        <is>
          <t>请添加微信：k846211</t>
        </is>
      </c>
      <c r="G1352" t="inlineStr">
        <is>
          <t>2026-02-07</t>
        </is>
      </c>
    </row>
    <row r="1353" ht="25.5" customHeight="1">
      <c r="A1353" t="inlineStr">
        <is>
          <t>自我心理完善资料</t>
        </is>
      </c>
      <c r="B1353" s="2" t="str">
        <f>=HYPERLINK("https://pan.quark.cn/s/1484fe3cb587", "https://pan.quark.cn/s/1484fe3cb587")</f>
        <v>https://pan.quark.cn/s/1484fe3cb587</v>
      </c>
      <c r="C1353" t="inlineStr">
        <is>
          <t>1.7GB</t>
        </is>
      </c>
      <c r="D1353" t="inlineStr">
        <is>
          <t>/自我心理完善/心理成长/个人提升/白领/其他</t>
        </is>
      </c>
      <c r="E1353" t="inlineStr">
        <is>
          <t>https://dcn8qexvg13r.feishu.cn/share/base/query/shrcnMqxwwRkV3NUIUxPeab3sec</t>
        </is>
      </c>
      <c r="F1353" t="inlineStr">
        <is>
          <t>请添加微信：k846211</t>
        </is>
      </c>
      <c r="G1353" t="inlineStr">
        <is>
          <t>2026-02-07</t>
        </is>
      </c>
    </row>
    <row r="1354" ht="25.5" customHeight="1">
      <c r="A1354" t="inlineStr">
        <is>
          <t>500份心理学方面书籍资料合集</t>
        </is>
      </c>
      <c r="B1354" s="2" t="str">
        <f>=HYPERLINK("https://pan.quark.cn/s/17e5d5a6c3c1", "https://pan.quark.cn/s/17e5d5a6c3c1")</f>
        <v>https://pan.quark.cn/s/17e5d5a6c3c1</v>
      </c>
      <c r="C1354" t="inlineStr">
        <is>
          <t>6.6GB</t>
        </is>
      </c>
      <c r="D1354" t="inlineStr">
        <is>
          <t>/心理学/书籍/专业知识/大学生/特定行业从业者</t>
        </is>
      </c>
      <c r="E1354" t="inlineStr">
        <is>
          <t>https://dcn8qexvg13r.feishu.cn/share/base/query/shrcnMqxwwRkV3NUIUxPeab3sec</t>
        </is>
      </c>
      <c r="F1354" t="inlineStr">
        <is>
          <t>请添加微信：k846211</t>
        </is>
      </c>
      <c r="G1354" t="inlineStr">
        <is>
          <t>2026-02-07</t>
        </is>
      </c>
    </row>
    <row r="1355" ht="25.5" customHeight="1">
      <c r="A1355" t="inlineStr">
        <is>
          <t>自我修炼走出困境的9套课程</t>
        </is>
      </c>
      <c r="B1355" s="2" t="str">
        <f>=HYPERLINK("https://pan.quark.cn/s/d24a64e45aff", "https://pan.quark.cn/s/d24a64e45aff")</f>
        <v>https://pan.quark.cn/s/d24a64e45aff</v>
      </c>
      <c r="C1355" t="inlineStr">
        <is>
          <t>1.1GB</t>
        </is>
      </c>
      <c r="D1355" t="inlineStr">
        <is>
          <t>/自我修炼/走出困境/课程/白领/其他</t>
        </is>
      </c>
      <c r="E1355" t="inlineStr">
        <is>
          <t>https://dcn8qexvg13r.feishu.cn/share/base/query/shrcnMqxwwRkV3NUIUxPeab3sec</t>
        </is>
      </c>
      <c r="F1355" t="inlineStr">
        <is>
          <t>请添加微信：k846211</t>
        </is>
      </c>
      <c r="G1355" t="inlineStr">
        <is>
          <t>2026-02-07</t>
        </is>
      </c>
    </row>
    <row r="1356" ht="25.5" customHeight="1">
      <c r="A1356" t="inlineStr">
        <is>
          <t>14天冥想入门深度放松好睡眠</t>
        </is>
      </c>
      <c r="B1356" s="2" t="str">
        <f>=HYPERLINK("https://pan.quark.cn/s/fcc19794f31d", "https://pan.quark.cn/s/fcc19794f31d")</f>
        <v>https://pan.quark.cn/s/fcc19794f31d</v>
      </c>
      <c r="C1356" t="inlineStr">
        <is>
          <t>5.5GB</t>
        </is>
      </c>
      <c r="D1356" t="inlineStr">
        <is>
          <t>/冥想/深度放松/好睡眠/入门/白领/宝妈/家长群体</t>
        </is>
      </c>
      <c r="E1356" t="inlineStr">
        <is>
          <t>https://dcn8qexvg13r.feishu.cn/share/base/query/shrcnMqxwwRkV3NUIUxPeab3sec</t>
        </is>
      </c>
      <c r="F1356" t="inlineStr">
        <is>
          <t>请添加微信：k846211</t>
        </is>
      </c>
      <c r="G1356" t="inlineStr">
        <is>
          <t>2026-02-07</t>
        </is>
      </c>
    </row>
    <row r="1357" ht="25.5" customHeight="1">
      <c r="A1357" t="inlineStr">
        <is>
          <t>10部影响孩子一辈子的好电影</t>
        </is>
      </c>
      <c r="B1357" s="2" t="str">
        <f>=HYPERLINK("https://pan.quark.cn/s/da1a29caa223", "https://pan.quark.cn/s/da1a29caa223")</f>
        <v>https://pan.quark.cn/s/da1a29caa223</v>
      </c>
      <c r="C1357" t="inlineStr">
        <is>
          <t>19.4GB</t>
        </is>
      </c>
      <c r="D1357" t="inlineStr">
        <is>
          <t>/孩子成长/电影/教育意义/宝妈/家长群体/学龄儿童家长</t>
        </is>
      </c>
      <c r="E1357" t="inlineStr">
        <is>
          <t>https://dcn8qexvg13r.feishu.cn/share/base/query/shrcnMqxwwRkV3NUIUxPeab3sec</t>
        </is>
      </c>
      <c r="F1357" t="inlineStr">
        <is>
          <t>请添加微信：k846211</t>
        </is>
      </c>
      <c r="G1357" t="inlineStr">
        <is>
          <t>2026-02-07</t>
        </is>
      </c>
    </row>
    <row r="1358" ht="25.5" customHeight="1">
      <c r="A1358" t="inlineStr">
        <is>
          <t xml:space="preserve">   [央视力荐137部儿童必看纪录片][按年龄、年代分类][人文历史动物植物天文地理气候军事体育环境宇宙天空等各类题材]</t>
        </is>
      </c>
      <c r="B1358" s="2" t="str">
        <f>=HYPERLINK("https://pan.quark.cn/s/71c7b47b46f3", "https://pan.quark.cn/s/71c7b47b46f3")</f>
        <v>https://pan.quark.cn/s/71c7b47b46f3</v>
      </c>
      <c r="C1358" t="inlineStr">
        <is>
          <t>2.1TB</t>
        </is>
      </c>
      <c r="D1358" t="inlineStr">
        <is>
          <t>/儿童纪录片/年龄分类/多题材/人文历史/宝妈/家长群体/学龄儿童家长</t>
        </is>
      </c>
      <c r="E1358" t="inlineStr">
        <is>
          <t>https://dcn8qexvg13r.feishu.cn/share/base/query/shrcnMqxwwRkV3NUIUxPeab3sec</t>
        </is>
      </c>
      <c r="F1358" t="inlineStr">
        <is>
          <t>请添加微信：k846211</t>
        </is>
      </c>
      <c r="G1358" t="inlineStr">
        <is>
          <t>2026-02-07</t>
        </is>
      </c>
    </row>
    <row r="1359" ht="25.5" customHeight="1">
      <c r="A1359" t="inlineStr">
        <is>
          <t>乐乐课堂.红楼梦.动画版(108集)</t>
        </is>
      </c>
      <c r="B1359" s="2" t="str">
        <f>=HYPERLINK("https://pan.quark.cn/s/2450667521fd", "https://pan.quark.cn/s/2450667521fd")</f>
        <v>https://pan.quark.cn/s/2450667521fd</v>
      </c>
      <c r="C1359" t="inlineStr">
        <is>
          <t>7.7GB</t>
        </is>
      </c>
      <c r="D1359" t="inlineStr">
        <is>
          <t>/红楼梦/动画/古典文学/少儿启蒙/K12/学龄儿童家长</t>
        </is>
      </c>
      <c r="E1359" t="inlineStr">
        <is>
          <t>https://dcn8qexvg13r.feishu.cn/share/base/query/shrcnMqxwwRkV3NUIUxPeab3sec</t>
        </is>
      </c>
      <c r="F1359" t="inlineStr">
        <is>
          <t>请添加微信：k846211</t>
        </is>
      </c>
      <c r="G1359" t="inlineStr">
        <is>
          <t>2026-02-07</t>
        </is>
      </c>
    </row>
    <row r="1360" ht="25.5" customHeight="1">
      <c r="A1360" t="inlineStr">
        <is>
          <t>乐乐课堂.三国演义.动画版(120集)</t>
        </is>
      </c>
      <c r="B1360" s="2" t="str">
        <f>=HYPERLINK("https://pan.quark.cn/s/5ea3f36e9cd5", "https://pan.quark.cn/s/5ea3f36e9cd5")</f>
        <v>https://pan.quark.cn/s/5ea3f36e9cd5</v>
      </c>
      <c r="C1360" t="inlineStr">
        <is>
          <t>3.7GB</t>
        </is>
      </c>
      <c r="D1360" t="inlineStr">
        <is>
          <t>/三国演义/动画/乐乐课堂/历史故事/K12/学龄儿童家长</t>
        </is>
      </c>
      <c r="E1360" t="inlineStr">
        <is>
          <t>https://dcn8qexvg13r.feishu.cn/share/base/query/shrcnMqxwwRkV3NUIUxPeab3sec</t>
        </is>
      </c>
      <c r="F1360" t="inlineStr">
        <is>
          <t>请添加微信：k846211</t>
        </is>
      </c>
      <c r="G1360" t="inlineStr">
        <is>
          <t>2026-02-07</t>
        </is>
      </c>
    </row>
    <row r="1361" ht="25.5" customHeight="1">
      <c r="A1361" t="inlineStr">
        <is>
          <t>乐乐课堂.水浒传.动画版(120集)</t>
        </is>
      </c>
      <c r="B1361" s="2" t="str">
        <f>=HYPERLINK("https://pan.quark.cn/s/d0c7cdf82287", "https://pan.quark.cn/s/d0c7cdf82287")</f>
        <v>https://pan.quark.cn/s/d0c7cdf82287</v>
      </c>
      <c r="C1361" t="inlineStr">
        <is>
          <t>4.3GB</t>
        </is>
      </c>
      <c r="D1361" t="inlineStr">
        <is>
          <t>/水浒传/动画/乐乐课堂/K12/学龄儿童家长</t>
        </is>
      </c>
      <c r="E1361" t="inlineStr">
        <is>
          <t>https://dcn8qexvg13r.feishu.cn/share/base/query/shrcnMqxwwRkV3NUIUxPeab3sec</t>
        </is>
      </c>
      <c r="F1361" t="inlineStr">
        <is>
          <t>请添加微信：k846211</t>
        </is>
      </c>
      <c r="G1361" t="inlineStr">
        <is>
          <t>2026-02-07</t>
        </is>
      </c>
    </row>
    <row r="1362" ht="25.5" customHeight="1">
      <c r="A1362" t="inlineStr">
        <is>
          <t>乐乐课堂.西游记.动画版(100集)</t>
        </is>
      </c>
      <c r="B1362" s="2" t="str">
        <f>=HYPERLINK("https://pan.quark.cn/s/584705beded7", "https://pan.quark.cn/s/584705beded7")</f>
        <v>https://pan.quark.cn/s/584705beded7</v>
      </c>
      <c r="C1362" t="inlineStr">
        <is>
          <t>2.4GB</t>
        </is>
      </c>
      <c r="D1362" t="inlineStr">
        <is>
          <t>/西游记/动画/乐乐课堂/儿童启蒙/K12/学龄儿童家长</t>
        </is>
      </c>
      <c r="E1362" t="inlineStr">
        <is>
          <t>https://dcn8qexvg13r.feishu.cn/share/base/query/shrcnMqxwwRkV3NUIUxPeab3sec</t>
        </is>
      </c>
      <c r="F1362" t="inlineStr">
        <is>
          <t>请添加微信：k846211</t>
        </is>
      </c>
      <c r="G1362" t="inlineStr">
        <is>
          <t>2026-02-07</t>
        </is>
      </c>
    </row>
    <row r="1363" ht="25.5" customHeight="1">
      <c r="A1363" t="inlineStr">
        <is>
          <t>齐天大圣孙悟空【2002】【1080P】</t>
        </is>
      </c>
      <c r="B1363" s="2" t="str">
        <f>=HYPERLINK("https://pan.quark.cn/s/1eedaeabef7c", "https://pan.quark.cn/s/1eedaeabef7c")</f>
        <v>https://pan.quark.cn/s/1eedaeabef7c</v>
      </c>
      <c r="C1363" t="inlineStr">
        <is>
          <t>54.7GB</t>
        </is>
      </c>
      <c r="D1363" t="inlineStr">
        <is>
          <t>/齐天大圣孙悟空/2002版/1080P/剧集/动漫</t>
        </is>
      </c>
      <c r="E1363" t="inlineStr">
        <is>
          <t>https://dcn8qexvg13r.feishu.cn/share/base/query/shrcnMqxwwRkV3NUIUxPeab3sec</t>
        </is>
      </c>
      <c r="F1363" t="inlineStr">
        <is>
          <t>请添加微信：k846211</t>
        </is>
      </c>
      <c r="G1363" t="inlineStr">
        <is>
          <t>2026-02-07</t>
        </is>
      </c>
    </row>
    <row r="1364" ht="25.5" customHeight="1">
      <c r="A1364" t="inlineStr">
        <is>
          <t>🖥电脑维修技术</t>
        </is>
      </c>
      <c r="B1364" s="2" t="str">
        <f>=HYPERLINK("https://pan.quark.cn/s/abc9faca71f4", "https://pan.quark.cn/s/abc9faca71f4")</f>
        <v>https://pan.quark.cn/s/abc9faca71f4</v>
      </c>
      <c r="C1364" t="inlineStr">
        <is>
          <t>165.1MB</t>
        </is>
      </c>
      <c r="D1364" t="inlineStr">
        <is>
          <t>/电脑维修/技术/硬件维护/故障排除/特定行业从业者/技能入门</t>
        </is>
      </c>
      <c r="E1364" t="inlineStr">
        <is>
          <t>https://dcn8qexvg13r.feishu.cn/share/base/query/shrcnMqxwwRkV3NUIUxPeab3sec</t>
        </is>
      </c>
      <c r="F1364" t="inlineStr">
        <is>
          <t>请添加微信：k846211</t>
        </is>
      </c>
      <c r="G1364" t="inlineStr">
        <is>
          <t>2026-02-12</t>
        </is>
      </c>
    </row>
    <row r="1365" ht="25.5" customHeight="1">
      <c r="A1365" t="inlineStr">
        <is>
          <t>🔥生活小窍门电子书合集</t>
        </is>
      </c>
      <c r="B1365" s="2" t="str">
        <f>=HYPERLINK("https://pan.quark.cn/s/289f8380a34a", "https://pan.quark.cn/s/289f8380a34a")</f>
        <v>https://pan.quark.cn/s/289f8380a34a</v>
      </c>
      <c r="C1365" t="inlineStr">
        <is>
          <t>208.9MB</t>
        </is>
      </c>
      <c r="D1365" t="inlineStr">
        <is>
          <t>/生活小窍门/电子书/实用技巧/宝妈/家长群体/白领</t>
        </is>
      </c>
      <c r="E1365" t="inlineStr">
        <is>
          <t>https://dcn8qexvg13r.feishu.cn/share/base/query/shrcnMqxwwRkV3NUIUxPeab3sec</t>
        </is>
      </c>
      <c r="F1365" t="inlineStr">
        <is>
          <t>请添加微信：k846211</t>
        </is>
      </c>
      <c r="G1365" t="inlineStr">
        <is>
          <t>2026-02-12</t>
        </is>
      </c>
    </row>
    <row r="1366" ht="25.5" customHeight="1">
      <c r="A1366" t="inlineStr">
        <is>
          <t>🔌电器维修技术</t>
        </is>
      </c>
      <c r="B1366" s="2" t="str">
        <f>=HYPERLINK("https://pan.quark.cn/s/e91f256eac69", "https://pan.quark.cn/s/e91f256eac69")</f>
        <v>https://pan.quark.cn/s/e91f256eac69</v>
      </c>
      <c r="C1366" t="inlineStr">
        <is>
          <t>2.1GB</t>
        </is>
      </c>
      <c r="D1366" t="inlineStr">
        <is>
          <t>/电器维修/技术/技能提升/特定行业从业者</t>
        </is>
      </c>
      <c r="E1366" t="inlineStr">
        <is>
          <t>https://dcn8qexvg13r.feishu.cn/share/base/query/shrcnMqxwwRkV3NUIUxPeab3sec</t>
        </is>
      </c>
      <c r="F1366" t="inlineStr">
        <is>
          <t>请添加微信：k846211</t>
        </is>
      </c>
      <c r="G1366" t="inlineStr">
        <is>
          <t>2026-02-12</t>
        </is>
      </c>
    </row>
    <row r="1367" ht="25.5" customHeight="1">
      <c r="A1367" t="inlineStr">
        <is>
          <t>🐔家禽养殖技术</t>
        </is>
      </c>
      <c r="B1367" s="2" t="str">
        <f>=HYPERLINK("https://pan.quark.cn/s/e3e5c939911c", "https://pan.quark.cn/s/e3e5c939911c")</f>
        <v>https://pan.quark.cn/s/e3e5c939911c</v>
      </c>
      <c r="C1367" t="inlineStr">
        <is>
          <t>2.9GB</t>
        </is>
      </c>
      <c r="D1367" t="inlineStr">
        <is>
          <t>/家禽养殖/养殖技术/农业技术/技术指导/特定行业从业者</t>
        </is>
      </c>
      <c r="E1367" t="inlineStr">
        <is>
          <t>https://dcn8qexvg13r.feishu.cn/share/base/query/shrcnMqxwwRkV3NUIUxPeab3sec</t>
        </is>
      </c>
      <c r="F1367" t="inlineStr">
        <is>
          <t>请添加微信：k846211</t>
        </is>
      </c>
      <c r="G1367" t="inlineStr">
        <is>
          <t>2026-02-12</t>
        </is>
      </c>
    </row>
    <row r="1368" ht="25.5" customHeight="1">
      <c r="A1368" t="inlineStr">
        <is>
          <t>🏥灾难、应急、求生</t>
        </is>
      </c>
      <c r="B1368" s="2" t="str">
        <f>=HYPERLINK("https://pan.quark.cn/s/73655a5c3fbc", "https://pan.quark.cn/s/73655a5c3fbc")</f>
        <v>https://pan.quark.cn/s/73655a5c3fbc</v>
      </c>
      <c r="C1368" t="inlineStr">
        <is>
          <t>239.3MB</t>
        </is>
      </c>
      <c r="D1368" t="inlineStr">
        <is>
          <t>/灾难应对/应急处理/求生技能/特定行业从业者/其他</t>
        </is>
      </c>
      <c r="E1368" t="inlineStr">
        <is>
          <t>https://dcn8qexvg13r.feishu.cn/share/base/query/shrcnMqxwwRkV3NUIUxPeab3sec</t>
        </is>
      </c>
      <c r="F1368" t="inlineStr">
        <is>
          <t>请添加微信：k846211</t>
        </is>
      </c>
      <c r="G1368" t="inlineStr">
        <is>
          <t>2026-02-12</t>
        </is>
      </c>
    </row>
    <row r="1369" ht="25.5" customHeight="1">
      <c r="A1369" t="inlineStr">
        <is>
          <t>🍉果树种植技术</t>
        </is>
      </c>
      <c r="B1369" s="2" t="str">
        <f>=HYPERLINK("https://pan.quark.cn/s/0aaa18f16ced", "https://pan.quark.cn/s/0aaa18f16ced")</f>
        <v>https://pan.quark.cn/s/0aaa18f16ced</v>
      </c>
      <c r="C1369" t="inlineStr">
        <is>
          <t>3.7GB</t>
        </is>
      </c>
      <c r="D1369" t="inlineStr">
        <is>
          <t>/果树种植/种植技术/西瓜种植/农业技术/特定行业从业者</t>
        </is>
      </c>
      <c r="E1369" t="inlineStr">
        <is>
          <t>https://dcn8qexvg13r.feishu.cn/share/base/query/shrcnMqxwwRkV3NUIUxPeab3sec</t>
        </is>
      </c>
      <c r="F1369" t="inlineStr">
        <is>
          <t>请添加微信：k846211</t>
        </is>
      </c>
      <c r="G1369" t="inlineStr">
        <is>
          <t>2026-02-12</t>
        </is>
      </c>
    </row>
    <row r="1370" ht="25.5" customHeight="1">
      <c r="A1370" t="inlineStr">
        <is>
          <t>⚡️水电工技术</t>
        </is>
      </c>
      <c r="B1370" s="2" t="str">
        <f>=HYPERLINK("https://pan.quark.cn/s/61e819b0e26c", "https://pan.quark.cn/s/61e819b0e26c")</f>
        <v>https://pan.quark.cn/s/61e819b0e26c</v>
      </c>
      <c r="C1370" t="inlineStr">
        <is>
          <t>761.4MB</t>
        </is>
      </c>
      <c r="D1370" t="inlineStr">
        <is>
          <t>/水电工/技术技能/技能入门/特定行业从业者</t>
        </is>
      </c>
      <c r="E1370" t="inlineStr">
        <is>
          <t>https://dcn8qexvg13r.feishu.cn/share/base/query/shrcnMqxwwRkV3NUIUxPeab3sec</t>
        </is>
      </c>
      <c r="F1370" t="inlineStr">
        <is>
          <t>请添加微信：k846211</t>
        </is>
      </c>
      <c r="G1370" t="inlineStr">
        <is>
          <t>2026-02-12</t>
        </is>
      </c>
    </row>
    <row r="1371" ht="25.5" customHeight="1">
      <c r="A1371" t="inlineStr">
        <is>
          <t>与内心的敏感和解 高敏感者减压的29个有效方法</t>
        </is>
      </c>
      <c r="B1371" s="2" t="str">
        <f>=HYPERLINK("https://pan.quark.cn/s/6ac4f74397b2", "https://pan.quark.cn/s/6ac4f74397b2")</f>
        <v>https://pan.quark.cn/s/6ac4f74397b2</v>
      </c>
      <c r="C1371" t="inlineStr">
        <is>
          <t>3.8MB</t>
        </is>
      </c>
      <c r="D1371" t="inlineStr">
        <is>
          <t>/高敏感者/减压方法/心理调节/自我和解/白领/其他</t>
        </is>
      </c>
      <c r="E1371" t="inlineStr">
        <is>
          <t>https://dcn8qexvg13r.feishu.cn/share/base/query/shrcnMqxwwRkV3NUIUxPeab3sec</t>
        </is>
      </c>
      <c r="F1371" t="inlineStr">
        <is>
          <t>请添加微信：k846211</t>
        </is>
      </c>
      <c r="G1371" t="inlineStr">
        <is>
          <t>2026-02-12</t>
        </is>
      </c>
    </row>
    <row r="1372" ht="25.5" customHeight="1">
      <c r="A1372" t="inlineStr">
        <is>
          <t>英语启蒙分级读物《柯林斯大猫 Big Cat (点读PDF+音频) 》</t>
        </is>
      </c>
      <c r="B1372" s="2" t="str">
        <f>=HYPERLINK("https://pan.quark.cn/s/f51d3cee4a58", "https://pan.quark.cn/s/f51d3cee4a58")</f>
        <v>https://pan.quark.cn/s/f51d3cee4a58</v>
      </c>
      <c r="C1372" t="inlineStr">
        <is>
          <t>35.7GB</t>
        </is>
      </c>
      <c r="D1372" t="inlineStr">
        <is>
          <t>/英语启蒙/分级读物/柯林斯大猫/点读PDF/音频/宝妈/家长群体/学龄儿童家长</t>
        </is>
      </c>
      <c r="E1372" t="inlineStr">
        <is>
          <t>https://dcn8qexvg13r.feishu.cn/share/base/query/shrcnMqxwwRkV3NUIUxPeab3sec</t>
        </is>
      </c>
      <c r="F1372" t="inlineStr">
        <is>
          <t>请添加微信：k846211</t>
        </is>
      </c>
      <c r="G1372" t="inlineStr">
        <is>
          <t>2026-02-12</t>
        </is>
      </c>
    </row>
    <row r="1373" ht="25.5" customHeight="1">
      <c r="A1373" t="inlineStr">
        <is>
          <t>《AI数字人制作：从零基础到大神》</t>
        </is>
      </c>
      <c r="B1373" s="2" t="str">
        <f>=HYPERLINK("https://pan.quark.cn/s/7f95a1bd34c9", "https://pan.quark.cn/s/7f95a1bd34c9")</f>
        <v>https://pan.quark.cn/s/7f95a1bd34c9</v>
      </c>
      <c r="C1373" t="inlineStr">
        <is>
          <t>1.1GB</t>
        </is>
      </c>
      <c r="D1373" t="inlineStr">
        <is>
          <t>/AI数字人/制作教程/零基础入门/技能提升/特定行业从业者/技能入门</t>
        </is>
      </c>
      <c r="E1373" t="inlineStr">
        <is>
          <t>https://dcn8qexvg13r.feishu.cn/share/base/query/shrcnMqxwwRkV3NUIUxPeab3sec</t>
        </is>
      </c>
      <c r="F1373" t="inlineStr">
        <is>
          <t>请添加微信：k846211</t>
        </is>
      </c>
      <c r="G1373" t="inlineStr">
        <is>
          <t>2026-02-12</t>
        </is>
      </c>
    </row>
    <row r="1374" ht="25.5" customHeight="1">
      <c r="A1374" t="inlineStr">
        <is>
          <t>百洋轻松美食家经典菜谱</t>
        </is>
      </c>
      <c r="B1374" s="2" t="str">
        <f>=HYPERLINK("https://pan.quark.cn/s/1946c6d612bf", "https://pan.quark.cn/s/1946c6d612bf")</f>
        <v>https://pan.quark.cn/s/1946c6d612bf</v>
      </c>
      <c r="C1374" t="inlineStr">
        <is>
          <t>21.3MB</t>
        </is>
      </c>
      <c r="D1374" t="inlineStr">
        <is>
          <t>/菜谱/美食/轻松烹饪/经典菜谱/宝妈/家长群体/白领</t>
        </is>
      </c>
      <c r="E1374" t="inlineStr">
        <is>
          <t>https://dcn8qexvg13r.feishu.cn/share/base/query/shrcnMqxwwRkV3NUIUxPeab3sec</t>
        </is>
      </c>
      <c r="F1374" t="inlineStr">
        <is>
          <t>请添加微信：k846211</t>
        </is>
      </c>
      <c r="G1374" t="inlineStr">
        <is>
          <t>2026-02-12</t>
        </is>
      </c>
    </row>
    <row r="1375" ht="25.5" customHeight="1">
      <c r="A1375" t="inlineStr">
        <is>
          <t>河图洛书与先后天八卦</t>
        </is>
      </c>
      <c r="B1375" s="2" t="str">
        <f>=HYPERLINK("https://pan.quark.cn/s/e0e029b172e2", "https://pan.quark.cn/s/e0e029b172e2")</f>
        <v>https://pan.quark.cn/s/e0e029b172e2</v>
      </c>
      <c r="C1375" t="inlineStr">
        <is>
          <t>155.1MB</t>
        </is>
      </c>
      <c r="D1375" t="inlineStr">
        <is>
          <t>/河图洛书/先后天八卦/易学/传统文化/其他</t>
        </is>
      </c>
      <c r="E1375" t="inlineStr">
        <is>
          <t>https://dcn8qexvg13r.feishu.cn/share/base/query/shrcnMqxwwRkV3NUIUxPeab3sec</t>
        </is>
      </c>
      <c r="F1375" t="inlineStr">
        <is>
          <t>请添加微信：k846211</t>
        </is>
      </c>
      <c r="G1375" t="inlineStr">
        <is>
          <t>2026-02-12</t>
        </is>
      </c>
    </row>
    <row r="1376" ht="25.5" customHeight="1">
      <c r="A1376" t="inlineStr">
        <is>
          <t>豆瓣图书TOP250</t>
        </is>
      </c>
      <c r="B1376" s="2" t="str">
        <f>=HYPERLINK("https://pan.quark.cn/s/541c38d84617", "https://pan.quark.cn/s/541c38d84617")</f>
        <v>https://pan.quark.cn/s/541c38d84617</v>
      </c>
      <c r="C1376" t="inlineStr">
        <is>
          <t>1.2GB</t>
        </is>
      </c>
      <c r="D1376" t="inlineStr">
        <is>
          <t>/图书/豆瓣/排行榜/经典阅读/大学生/白领</t>
        </is>
      </c>
      <c r="E1376" t="inlineStr">
        <is>
          <t>https://dcn8qexvg13r.feishu.cn/share/base/query/shrcnMqxwwRkV3NUIUxPeab3sec</t>
        </is>
      </c>
      <c r="F1376" t="inlineStr">
        <is>
          <t>请添加微信：k846211</t>
        </is>
      </c>
      <c r="G1376" t="inlineStr">
        <is>
          <t>2026-02-12</t>
        </is>
      </c>
    </row>
    <row r="1377" ht="25.5" customHeight="1">
      <c r="A1377" t="inlineStr">
        <is>
          <t>少儿奥数思维训练入门课</t>
        </is>
      </c>
      <c r="B1377" s="2" t="str">
        <f>=HYPERLINK("https://pan.quark.cn/s/2d521e63d67a", "https://pan.quark.cn/s/2d521e63d67a")</f>
        <v>https://pan.quark.cn/s/2d521e63d67a</v>
      </c>
      <c r="C1377" t="inlineStr">
        <is>
          <t>618.9MB</t>
        </is>
      </c>
      <c r="D1377" t="inlineStr">
        <is>
          <t>/奥数/思维训练/入门课/少儿教育/K12/学龄儿童家长</t>
        </is>
      </c>
      <c r="E1377" t="inlineStr">
        <is>
          <t>https://dcn8qexvg13r.feishu.cn/share/base/query/shrcnMqxwwRkV3NUIUxPeab3sec</t>
        </is>
      </c>
      <c r="F1377" t="inlineStr">
        <is>
          <t>请添加微信：k846211</t>
        </is>
      </c>
      <c r="G1377" t="inlineStr">
        <is>
          <t>2026-02-12</t>
        </is>
      </c>
    </row>
    <row r="1378" ht="25.5" customHeight="1">
      <c r="A1378" t="inlineStr">
        <is>
          <t>电脑壁纸 4K 桌面壁纸【精品】</t>
        </is>
      </c>
      <c r="B1378" s="2" t="str">
        <f>=HYPERLINK("https://pan.quark.cn/s/69b9ff4caf77", "https://pan.quark.cn/s/69b9ff4caf77")</f>
        <v>https://pan.quark.cn/s/69b9ff4caf77</v>
      </c>
      <c r="C1378" t="inlineStr">
        <is>
          <t>318.8MB</t>
        </is>
      </c>
      <c r="D1378" t="inlineStr">
        <is>
          <t>/电脑壁纸/4K/桌面壁纸/精品/设计素材/白领</t>
        </is>
      </c>
      <c r="E1378" t="inlineStr">
        <is>
          <t>https://dcn8qexvg13r.feishu.cn/share/base/query/shrcnMqxwwRkV3NUIUxPeab3sec</t>
        </is>
      </c>
      <c r="F1378" t="inlineStr">
        <is>
          <t>请添加微信：k846211</t>
        </is>
      </c>
      <c r="G1378" t="inlineStr">
        <is>
          <t>2026-02-12</t>
        </is>
      </c>
    </row>
    <row r="1379" ht="25.5" customHeight="1">
      <c r="A1379" t="inlineStr">
        <is>
          <t>网易云评论超10W+的歌曲合集800多首 MP3</t>
        </is>
      </c>
      <c r="B1379" s="2" t="str">
        <f>=HYPERLINK("https://pan.quark.cn/s/4c7c97879726", "https://pan.quark.cn/s/4c7c97879726")</f>
        <v>https://pan.quark.cn/s/4c7c97879726</v>
      </c>
      <c r="C1379" t="inlineStr">
        <is>
          <t>7.9GB</t>
        </is>
      </c>
      <c r="D1379" t="inlineStr">
        <is>
          <t>/网易云评论/超10W+歌曲/MP3/音乐迷</t>
        </is>
      </c>
      <c r="E1379" t="inlineStr">
        <is>
          <t>https://dcn8qexvg13r.feishu.cn/share/base/query/shrcnMqxwwRkV3NUIUxPeab3sec</t>
        </is>
      </c>
      <c r="F1379" t="inlineStr">
        <is>
          <t>请添加微信：k846211</t>
        </is>
      </c>
      <c r="G1379" t="inlineStr">
        <is>
          <t>2026-02-12</t>
        </is>
      </c>
    </row>
    <row r="1380" ht="25.5" customHeight="1">
      <c r="A1380" t="inlineStr">
        <is>
          <t>【2025秋官方正式版】小学、初中、高中、中职、大学、教师用书高清PDF电子课本打包</t>
        </is>
      </c>
      <c r="B1380" s="2" t="str">
        <f>=HYPERLINK("https://pan.quark.cn/s/ba6fd4ea5c0e", "https://pan.quark.cn/s/ba6fd4ea5c0e")</f>
        <v>https://pan.quark.cn/s/ba6fd4ea5c0e</v>
      </c>
      <c r="C1380" t="inlineStr">
        <is>
          <t>363.9GB</t>
        </is>
      </c>
      <c r="D1380" t="inlineStr">
        <is>
          <t>/电子课本/PDF/高清/教师用书/K12/大学生</t>
        </is>
      </c>
      <c r="E1380" t="inlineStr">
        <is>
          <t>https://dcn8qexvg13r.feishu.cn/share/base/query/shrcnMqxwwRkV3NUIUxPeab3sec</t>
        </is>
      </c>
      <c r="F1380" t="inlineStr">
        <is>
          <t>请添加微信：k846211</t>
        </is>
      </c>
      <c r="G1380" t="inlineStr">
        <is>
          <t>2026-02-12</t>
        </is>
      </c>
    </row>
    <row r="1381" ht="25.5" customHeight="1">
      <c r="A1381" t="inlineStr">
        <is>
          <t>【壁纸合集】各种壁纸，动漫电脑风景科技卡通手绘素描LOL等</t>
        </is>
      </c>
      <c r="B1381" s="2" t="str">
        <f>=HYPERLINK("https://pan.quark.cn/s/b784729a63b8", "https://pan.quark.cn/s/b784729a63b8")</f>
        <v>https://pan.quark.cn/s/b784729a63b8</v>
      </c>
      <c r="C1381" t="inlineStr">
        <is>
          <t>63.5GB</t>
        </is>
      </c>
      <c r="D1381" t="inlineStr">
        <is>
          <t>/壁纸/动漫/风景/科技/游戏/动漫/游戏/设计素材</t>
        </is>
      </c>
      <c r="E1381" t="inlineStr">
        <is>
          <t>https://dcn8qexvg13r.feishu.cn/share/base/query/shrcnMqxwwRkV3NUIUxPeab3sec</t>
        </is>
      </c>
      <c r="F1381" t="inlineStr">
        <is>
          <t>请添加微信：k846211</t>
        </is>
      </c>
      <c r="G1381" t="inlineStr">
        <is>
          <t>2026-02-12</t>
        </is>
      </c>
    </row>
    <row r="1382" ht="25.5" customHeight="1">
      <c r="A1382" t="inlineStr">
        <is>
          <t>绘本故事2000+精选大全 一天一个启蒙小故事</t>
        </is>
      </c>
      <c r="B1382" s="2" t="str">
        <f>=HYPERLINK("https://pan.quark.cn/s/3a512a2dbf0b", "https://pan.quark.cn/s/3a512a2dbf0b")</f>
        <v>https://pan.quark.cn/s/3a512a2dbf0b</v>
      </c>
      <c r="C1382" t="inlineStr">
        <is>
          <t>8.1GB</t>
        </is>
      </c>
      <c r="D1382" t="inlineStr">
        <is>
          <t>/绘本故事/启蒙教育/儿童故事/宝妈/家长群体/育儿</t>
        </is>
      </c>
      <c r="E1382" t="inlineStr">
        <is>
          <t>https://dcn8qexvg13r.feishu.cn/share/base/query/shrcnMqxwwRkV3NUIUxPeab3sec</t>
        </is>
      </c>
      <c r="F1382" t="inlineStr">
        <is>
          <t>请添加微信：k846211</t>
        </is>
      </c>
      <c r="G1382" t="inlineStr">
        <is>
          <t>2026-02-12</t>
        </is>
      </c>
    </row>
    <row r="1383" ht="25.5" customHeight="1">
      <c r="A1383" t="inlineStr">
        <is>
          <t>面试方法精讲</t>
        </is>
      </c>
      <c r="B1383" s="2" t="str">
        <f>=HYPERLINK("https://pan.quark.cn/s/ade27856cc76", "https://pan.quark.cn/s/ade27856cc76")</f>
        <v>https://pan.quark.cn/s/ade27856cc76</v>
      </c>
      <c r="C1383" t="inlineStr">
        <is>
          <t>1.7GB</t>
        </is>
      </c>
      <c r="D1383" t="inlineStr">
        <is>
          <t>/面试方法/职场技能/面试准备/面试技巧/白领/特定行业从业者</t>
        </is>
      </c>
      <c r="E1383" t="inlineStr">
        <is>
          <t>https://dcn8qexvg13r.feishu.cn/share/base/query/shrcnMqxwwRkV3NUIUxPeab3sec</t>
        </is>
      </c>
      <c r="F1383" t="inlineStr">
        <is>
          <t>请添加微信：k846211</t>
        </is>
      </c>
      <c r="G1383" t="inlineStr">
        <is>
          <t>2026-02-12</t>
        </is>
      </c>
    </row>
    <row r="1384" ht="25.5" customHeight="1">
      <c r="A1384" t="inlineStr">
        <is>
          <t>学做菜高价购买菜谱高清视频教程(132套)</t>
        </is>
      </c>
      <c r="B1384" s="2" t="str">
        <f>=HYPERLINK("https://pan.quark.cn/s/3ed79ab8f698", "https://pan.quark.cn/s/3ed79ab8f698")</f>
        <v>https://pan.quark.cn/s/3ed79ab8f698</v>
      </c>
      <c r="C1384" t="inlineStr">
        <is>
          <t>4.7GB</t>
        </is>
      </c>
      <c r="D1384" t="inlineStr">
        <is>
          <t>/学做菜/菜谱/高清视频教程/技能入门/宝妈/家长群体/白领</t>
        </is>
      </c>
      <c r="E1384" t="inlineStr">
        <is>
          <t>https://dcn8qexvg13r.feishu.cn/share/base/query/shrcnMqxwwRkV3NUIUxPeab3sec</t>
        </is>
      </c>
      <c r="F1384" t="inlineStr">
        <is>
          <t>请添加微信：k846211</t>
        </is>
      </c>
      <c r="G1384" t="inlineStr">
        <is>
          <t>2026-02-12</t>
        </is>
      </c>
    </row>
    <row r="1385" ht="25.5" customHeight="1">
      <c r="A1385" t="inlineStr">
        <is>
          <t>2025版《中考语文·百题大过关》（基础百题）</t>
        </is>
      </c>
      <c r="B1385" s="2" t="str">
        <f>=HYPERLINK("https://pan.quark.cn/s/8391831e58e0", "https://pan.quark.cn/s/8391831e58e0")</f>
        <v>https://pan.quark.cn/s/8391831e58e0</v>
      </c>
      <c r="C1385" t="inlineStr">
        <is>
          <t>333.1MB</t>
        </is>
      </c>
      <c r="D1385" t="inlineStr">
        <is>
          <t>/中考语文/基础百题/习题集/K12/学龄儿童家长</t>
        </is>
      </c>
      <c r="E1385" t="inlineStr">
        <is>
          <t>https://dcn8qexvg13r.feishu.cn/share/base/query/shrcnMqxwwRkV3NUIUxPeab3sec</t>
        </is>
      </c>
      <c r="F1385" t="inlineStr">
        <is>
          <t>请添加微信：k846211</t>
        </is>
      </c>
      <c r="G1385" t="inlineStr">
        <is>
          <t>2026-02-12</t>
        </is>
      </c>
    </row>
    <row r="1386" ht="25.5" customHeight="1">
      <c r="A1386" t="inlineStr">
        <is>
          <t>❤️2026年军队文职押题&amp;模拟卷</t>
        </is>
      </c>
      <c r="B1386" s="2" t="str">
        <f>=HYPERLINK("https://pan.quark.cn/s/c5890a6a60b4", "https://pan.quark.cn/s/c5890a6a60b4")</f>
        <v>https://pan.quark.cn/s/c5890a6a60b4</v>
      </c>
      <c r="C1386" t="inlineStr">
        <is>
          <t>4.2GB</t>
        </is>
      </c>
      <c r="D1386" t="inlineStr">
        <is>
          <t>/军队文职/押题/模拟卷/备考资料/考研/考公/考证党/特定行业从业者</t>
        </is>
      </c>
      <c r="E1386" t="inlineStr">
        <is>
          <t>https://dcn8qexvg13r.feishu.cn/share/base/query/shrcnMqxwwRkV3NUIUxPeab3sec</t>
        </is>
      </c>
      <c r="F1386" t="inlineStr">
        <is>
          <t>请添加微信：k846211</t>
        </is>
      </c>
      <c r="G1386" t="inlineStr">
        <is>
          <t>2026-02-12</t>
        </is>
      </c>
    </row>
    <row r="1387" ht="25.5" customHeight="1">
      <c r="A1387" t="inlineStr">
        <is>
          <t>2月12日广B剧+有S剧单期合集</t>
        </is>
      </c>
      <c r="B1387" s="2" t="str">
        <f>=HYPERLINK("https://pan.quark.cn/s/1721e8e2d3ea", "https://pan.quark.cn/s/1721e8e2d3ea")</f>
        <v>https://pan.quark.cn/s/1721e8e2d3ea</v>
      </c>
      <c r="C1387" t="inlineStr">
        <is>
          <t>6.6GB</t>
        </is>
      </c>
      <c r="D1387" t="inlineStr">
        <is>
          <t>/广B剧/S剧/单期/剧集/剧集</t>
        </is>
      </c>
      <c r="E1387" t="inlineStr">
        <is>
          <t>https://dcn8qexvg13r.feishu.cn/share/base/query/shrcnMqxwwRkV3NUIUxPeab3sec</t>
        </is>
      </c>
      <c r="F1387" t="inlineStr">
        <is>
          <t>请添加微信：k846211</t>
        </is>
      </c>
      <c r="G1387" t="inlineStr">
        <is>
          <t>2026-02-12</t>
        </is>
      </c>
    </row>
    <row r="1388" ht="25.5" customHeight="1">
      <c r="A1388" t="inlineStr">
        <is>
          <t>N【逆@星#尼&amp;商】</t>
        </is>
      </c>
      <c r="B1388" s="2" t="str">
        <f>=HYPERLINK("https://pan.quark.cn/s/842009018d5b", "https://pan.quark.cn/s/842009018d5b")</f>
        <v>https://pan.quark.cn/s/842009018d5b</v>
      </c>
      <c r="C1388" t="inlineStr">
        <is>
          <t>7.2GB</t>
        </is>
      </c>
      <c r="D1388" t="inlineStr">
        <is>
          <t>/逆星/尼商/其他</t>
        </is>
      </c>
      <c r="E1388" t="inlineStr">
        <is>
          <t>https://dcn8qexvg13r.feishu.cn/share/base/query/shrcnMqxwwRkV3NUIUxPeab3sec</t>
        </is>
      </c>
      <c r="F1388" t="inlineStr">
        <is>
          <t>请添加微信：k846211</t>
        </is>
      </c>
      <c r="G1388" t="inlineStr">
        <is>
          <t>2026-02-12</t>
        </is>
      </c>
    </row>
    <row r="1389" ht="25.5" customHeight="1">
      <c r="A1389" t="inlineStr">
        <is>
          <t>D东.北.恋.哥.3：冬.天.里.的.一.把.火 (2026)</t>
        </is>
      </c>
      <c r="B1389" s="2" t="str">
        <f>=HYPERLINK("https://pan.quark.cn/s/99256dfedd37", "https://pan.quark.cn/s/99256dfedd37")</f>
        <v>https://pan.quark.cn/s/99256dfedd37</v>
      </c>
      <c r="C1389" t="inlineStr">
        <is>
          <t>5.6GB</t>
        </is>
      </c>
      <c r="D1389" t="inlineStr">
        <is>
          <t>/东北恋哥/冬天里的一把火/喜剧/爱情/电影</t>
        </is>
      </c>
      <c r="E1389" t="inlineStr">
        <is>
          <t>https://dcn8qexvg13r.feishu.cn/share/base/query/shrcnMqxwwRkV3NUIUxPeab3sec</t>
        </is>
      </c>
      <c r="F1389" t="inlineStr">
        <is>
          <t>请添加微信：k846211</t>
        </is>
      </c>
      <c r="G1389" t="inlineStr">
        <is>
          <t>2026-02-12</t>
        </is>
      </c>
    </row>
    <row r="1390" ht="25.5" customHeight="1">
      <c r="A1390" t="inlineStr">
        <is>
          <t>J 精娬β東眞：租屆风囩</t>
        </is>
      </c>
      <c r="B1390" s="2" t="str">
        <f>=HYPERLINK("https://pan.quark.cn/s/1c4f38472ee8", "https://pan.quark.cn/s/1c4f38472ee8")</f>
        <v>https://pan.quark.cn/s/1c4f38472ee8</v>
      </c>
      <c r="C1390" t="inlineStr">
        <is>
          <t>21.0GB</t>
        </is>
      </c>
      <c r="D1390" t="inlineStr">
        <is>
          <t>/其他/</t>
        </is>
      </c>
      <c r="E1390" t="inlineStr">
        <is>
          <t>https://dcn8qexvg13r.feishu.cn/share/base/query/shrcnMqxwwRkV3NUIUxPeab3sec</t>
        </is>
      </c>
      <c r="F1390" t="inlineStr">
        <is>
          <t>请添加微信：k846211</t>
        </is>
      </c>
      <c r="G1390" t="inlineStr">
        <is>
          <t>2026-02-12</t>
        </is>
      </c>
    </row>
    <row r="1391" ht="25.5" customHeight="1">
      <c r="A1391" t="inlineStr">
        <is>
          <t>被俘的塞万提斯</t>
        </is>
      </c>
      <c r="B1391" s="2" t="str">
        <f>=HYPERLINK("https://pan.quark.cn/s/d10c1ae91791", "https://pan.quark.cn/s/d10c1ae91791")</f>
        <v>https://pan.quark.cn/s/d10c1ae91791</v>
      </c>
      <c r="C1391" t="inlineStr">
        <is>
          <t>2.8GB</t>
        </is>
      </c>
      <c r="D1391" t="inlineStr">
        <is>
          <t>/塞万提斯/人物传记/历史人物/文学研究/大学生/特定行业从业者</t>
        </is>
      </c>
      <c r="E1391" t="inlineStr">
        <is>
          <t>https://dcn8qexvg13r.feishu.cn/share/base/query/shrcnMqxwwRkV3NUIUxPeab3sec</t>
        </is>
      </c>
      <c r="F1391" t="inlineStr">
        <is>
          <t>请添加微信：k846211</t>
        </is>
      </c>
      <c r="G1391" t="inlineStr">
        <is>
          <t>2026-02-12</t>
        </is>
      </c>
    </row>
    <row r="1392" ht="25.5" customHeight="1">
      <c r="A1392" t="inlineStr">
        <is>
          <t>8号出口</t>
        </is>
      </c>
      <c r="B1392" s="2" t="str">
        <f>=HYPERLINK("https://pan.quark.cn/s/3e1836eb4e66", "https://pan.quark.cn/s/3e1836eb4e66")</f>
        <v>https://pan.quark.cn/s/3e1836eb4e66</v>
      </c>
      <c r="C1392" t="inlineStr">
        <is>
          <t>3.5GB</t>
        </is>
      </c>
      <c r="D1392" t="inlineStr">
        <is>
          <t>/出口标识/导航/公共场所/实用指引/其他</t>
        </is>
      </c>
      <c r="E1392" t="inlineStr">
        <is>
          <t>https://dcn8qexvg13r.feishu.cn/share/base/query/shrcnMqxwwRkV3NUIUxPeab3sec</t>
        </is>
      </c>
      <c r="F1392" t="inlineStr">
        <is>
          <t>请添加微信：k846211</t>
        </is>
      </c>
      <c r="G1392" t="inlineStr">
        <is>
          <t>2026-02-12</t>
        </is>
      </c>
    </row>
    <row r="1393" ht="25.5" customHeight="1">
      <c r="A1393" t="inlineStr">
        <is>
          <t>全面开战：兄弟会</t>
        </is>
      </c>
      <c r="B1393" s="2" t="str">
        <f>=HYPERLINK("https://pan.quark.cn/s/d370d5861738", "https://pan.quark.cn/s/d370d5861738")</f>
        <v>https://pan.quark.cn/s/d370d5861738</v>
      </c>
      <c r="C1393" t="inlineStr">
        <is>
          <t>3.8GB</t>
        </is>
      </c>
      <c r="D1393" t="inlineStr">
        <is>
          <t>/全面开战/兄弟会/战争/剧情/剧集</t>
        </is>
      </c>
      <c r="E1393" t="inlineStr">
        <is>
          <t>https://dcn8qexvg13r.feishu.cn/share/base/query/shrcnMqxwwRkV3NUIUxPeab3sec</t>
        </is>
      </c>
      <c r="F1393" t="inlineStr">
        <is>
          <t>请添加微信：k846211</t>
        </is>
      </c>
      <c r="G1393" t="inlineStr">
        <is>
          <t>2026-02-12</t>
        </is>
      </c>
    </row>
    <row r="1394" ht="25.5" customHeight="1">
      <c r="A1394" t="inlineStr">
        <is>
          <t>2026春晚大合集（持续更新中）</t>
        </is>
      </c>
      <c r="B1394" s="2" t="str">
        <f>=HYPERLINK("https://pan.quark.cn/s/1e5238ea4fbc", "https://pan.quark.cn/s/1e5238ea4fbc")</f>
        <v>https://pan.quark.cn/s/1e5238ea4fbc</v>
      </c>
      <c r="C1394" t="inlineStr">
        <is>
          <t>43.8GB</t>
        </is>
      </c>
      <c r="D1394" t="inlineStr">
        <is>
          <t>/春晚/视频/娱乐/其他</t>
        </is>
      </c>
      <c r="E1394" t="inlineStr">
        <is>
          <t>https://dcn8qexvg13r.feishu.cn/share/base/query/shrcnMqxwwRkV3NUIUxPeab3sec</t>
        </is>
      </c>
      <c r="F1394" t="inlineStr">
        <is>
          <t>请添加微信：k846211</t>
        </is>
      </c>
      <c r="G1394" t="inlineStr">
        <is>
          <t>2026-02-12</t>
        </is>
      </c>
    </row>
    <row r="1395" ht="25.5" customHeight="1">
      <c r="A1395" t="inlineStr">
        <is>
          <t>变X计 1-19季（2006）</t>
        </is>
      </c>
      <c r="B1395" s="2" t="str">
        <f>=HYPERLINK("https://pan.quark.cn/s/6b08960efb2b", "https://pan.quark.cn/s/6b08960efb2b")</f>
        <v>https://pan.quark.cn/s/6b08960efb2b</v>
      </c>
      <c r="C1395" t="inlineStr">
        <is>
          <t>341.2GB</t>
        </is>
      </c>
      <c r="D1395" t="inlineStr">
        <is>
          <t>/青少年成长/真人秀/家庭教育/宝妈/家长群体/学龄儿童家长</t>
        </is>
      </c>
      <c r="E1395" t="inlineStr">
        <is>
          <t>https://dcn8qexvg13r.feishu.cn/share/base/query/shrcnMqxwwRkV3NUIUxPeab3sec</t>
        </is>
      </c>
      <c r="F1395" t="inlineStr">
        <is>
          <t>请添加微信：k846211</t>
        </is>
      </c>
      <c r="G1395" t="inlineStr">
        <is>
          <t>2026-02-12</t>
        </is>
      </c>
    </row>
    <row r="1396" ht="25.5" customHeight="1">
      <c r="A1396" t="inlineStr">
        <is>
          <t>02.诸葛学堂付费会员课 二年级会员</t>
        </is>
      </c>
      <c r="B1396" s="2" t="str">
        <f>=HYPERLINK("https://pan.quark.cn/s/195195e13cd9", "https://pan.quark.cn/s/195195e13cd9")</f>
        <v>https://pan.quark.cn/s/195195e13cd9</v>
      </c>
      <c r="C1396" t="inlineStr">
        <is>
          <t>175.1GB</t>
        </is>
      </c>
      <c r="D1396" t="inlineStr">
        <is>
          <t>/诸葛学堂/二年级/付费会员课/学龄儿童家长/K12</t>
        </is>
      </c>
      <c r="E1396" t="inlineStr">
        <is>
          <t>https://dcn8qexvg13r.feishu.cn/share/base/query/shrcnMqxwwRkV3NUIUxPeab3sec</t>
        </is>
      </c>
      <c r="F1396" t="inlineStr">
        <is>
          <t>请添加微信：k846211</t>
        </is>
      </c>
      <c r="G1396" t="inlineStr">
        <is>
          <t>2026-02-15</t>
        </is>
      </c>
    </row>
    <row r="1397" ht="25.5" customHeight="1">
      <c r="A1397" t="inlineStr">
        <is>
          <t>🎬粤语速成教程，日常用语学习、场景对话(10课时)</t>
        </is>
      </c>
      <c r="B1397" s="2" t="str">
        <f>=HYPERLINK("https://pan.quark.cn/s/65facceed062", "https://pan.quark.cn/s/65facceed062")</f>
        <v>https://pan.quark.cn/s/65facceed062</v>
      </c>
      <c r="C1397" t="inlineStr">
        <is>
          <t>92.2MB</t>
        </is>
      </c>
      <c r="D1397" t="inlineStr">
        <is>
          <t>/粤语/日常用语/场景对话/语言学习/语言</t>
        </is>
      </c>
      <c r="E1397" t="inlineStr">
        <is>
          <t>https://dcn8qexvg13r.feishu.cn/share/base/query/shrcnMqxwwRkV3NUIUxPeab3sec</t>
        </is>
      </c>
      <c r="F1397" t="inlineStr">
        <is>
          <t>请添加微信：k846211</t>
        </is>
      </c>
      <c r="G1397" t="inlineStr">
        <is>
          <t>2026-02-15</t>
        </is>
      </c>
    </row>
    <row r="1398" ht="25.5" customHeight="1">
      <c r="A1398" t="inlineStr">
        <is>
          <t>🎬进阶粤语教学(普通话演讲) [15节课]</t>
        </is>
      </c>
      <c r="B1398" s="2" t="str">
        <f>=HYPERLINK("https://pan.quark.cn/s/e4eee37d204e", "https://pan.quark.cn/s/e4eee37d204e")</f>
        <v>https://pan.quark.cn/s/e4eee37d204e</v>
      </c>
      <c r="C1398" t="inlineStr">
        <is>
          <t>2.2GB</t>
        </is>
      </c>
      <c r="D1398" t="inlineStr">
        <is>
          <t>/粤语教学/普通话演讲/进阶/语言/语言</t>
        </is>
      </c>
      <c r="E1398" t="inlineStr">
        <is>
          <t>https://dcn8qexvg13r.feishu.cn/share/base/query/shrcnMqxwwRkV3NUIUxPeab3sec</t>
        </is>
      </c>
      <c r="F1398" t="inlineStr">
        <is>
          <t>请添加微信：k846211</t>
        </is>
      </c>
      <c r="G1398" t="inlineStr">
        <is>
          <t>2026-02-15</t>
        </is>
      </c>
    </row>
    <row r="1399" ht="25.5" customHeight="1">
      <c r="A1399" t="inlineStr">
        <is>
          <t>🎬40天学会粤语 从零基础到进阶开口说粤语！（广州话+香港话）</t>
        </is>
      </c>
      <c r="B1399" s="2" t="str">
        <f>=HYPERLINK("https://pan.quark.cn/s/c5644cbc55f6", "https://pan.quark.cn/s/c5644cbc55f6")</f>
        <v>https://pan.quark.cn/s/c5644cbc55f6</v>
      </c>
      <c r="C1399" t="inlineStr">
        <is>
          <t>16.6GB</t>
        </is>
      </c>
      <c r="D1399" t="inlineStr">
        <is>
          <t>/粤语学习/零基础进阶/广州话/香港话/语言/技能入门</t>
        </is>
      </c>
      <c r="E1399" t="inlineStr">
        <is>
          <t>https://dcn8qexvg13r.feishu.cn/share/base/query/shrcnMqxwwRkV3NUIUxPeab3sec</t>
        </is>
      </c>
      <c r="F1399" t="inlineStr">
        <is>
          <t>请添加微信：k846211</t>
        </is>
      </c>
      <c r="G1399" t="inlineStr">
        <is>
          <t>2026-02-15</t>
        </is>
      </c>
    </row>
    <row r="1400" ht="25.5" customHeight="1">
      <c r="A1400" t="inlineStr">
        <is>
          <t>🎬每天学点粤语｜轻松从粤语小白进阶为粤语达人(完结)</t>
        </is>
      </c>
      <c r="B1400" s="2" t="str">
        <f>=HYPERLINK("https://pan.quark.cn/s/f67eb9f9d920", "https://pan.quark.cn/s/f67eb9f9d920")</f>
        <v>https://pan.quark.cn/s/f67eb9f9d920</v>
      </c>
      <c r="C1400" t="inlineStr">
        <is>
          <t>1.6GB</t>
        </is>
      </c>
      <c r="D1400" t="inlineStr">
        <is>
          <t>/粤语学习/教程/轻松进阶/语言/语言</t>
        </is>
      </c>
      <c r="E1400" t="inlineStr">
        <is>
          <t>https://dcn8qexvg13r.feishu.cn/share/base/query/shrcnMqxwwRkV3NUIUxPeab3sec</t>
        </is>
      </c>
      <c r="F1400" t="inlineStr">
        <is>
          <t>请添加微信：k846211</t>
        </is>
      </c>
      <c r="G1400" t="inlineStr">
        <is>
          <t>2026-02-15</t>
        </is>
      </c>
    </row>
    <row r="1401" ht="25.5" customHeight="1">
      <c r="A1401" t="inlineStr">
        <is>
          <t>🎬跟我学讲广东话</t>
        </is>
      </c>
      <c r="B1401" s="2" t="str">
        <f>=HYPERLINK("https://pan.quark.cn/s/5df4c1d3c7b5", "https://pan.quark.cn/s/5df4c1d3c7b5")</f>
        <v>https://pan.quark.cn/s/5df4c1d3c7b5</v>
      </c>
      <c r="C1401" t="inlineStr">
        <is>
          <t>1.5GB</t>
        </is>
      </c>
      <c r="D1401" t="inlineStr">
        <is>
          <t>/广东话/语言学习/教学/语言/语言</t>
        </is>
      </c>
      <c r="E1401" t="inlineStr">
        <is>
          <t>https://dcn8qexvg13r.feishu.cn/share/base/query/shrcnMqxwwRkV3NUIUxPeab3sec</t>
        </is>
      </c>
      <c r="F1401" t="inlineStr">
        <is>
          <t>请添加微信：k846211</t>
        </is>
      </c>
      <c r="G1401" t="inlineStr">
        <is>
          <t>2026-02-15</t>
        </is>
      </c>
    </row>
    <row r="1402" ht="25.5" customHeight="1">
      <c r="A1402" t="inlineStr">
        <is>
          <t>🎬各种词汇粤语发音(24节课)</t>
        </is>
      </c>
      <c r="B1402" s="2" t="str">
        <f>=HYPERLINK("https://pan.quark.cn/s/1b2b66b17ab2", "https://pan.quark.cn/s/1b2b66b17ab2")</f>
        <v>https://pan.quark.cn/s/1b2b66b17ab2</v>
      </c>
      <c r="C1402" t="inlineStr">
        <is>
          <t>562.9MB</t>
        </is>
      </c>
      <c r="D1402" t="inlineStr">
        <is>
          <t>/粤语/发音/词汇/课程/语言</t>
        </is>
      </c>
      <c r="E1402" t="inlineStr">
        <is>
          <t>https://dcn8qexvg13r.feishu.cn/share/base/query/shrcnMqxwwRkV3NUIUxPeab3sec</t>
        </is>
      </c>
      <c r="F1402" t="inlineStr">
        <is>
          <t>请添加微信：k846211</t>
        </is>
      </c>
      <c r="G1402" t="inlineStr">
        <is>
          <t>2026-02-15</t>
        </is>
      </c>
    </row>
    <row r="1403" ht="25.5" customHeight="1">
      <c r="A1403" t="inlineStr">
        <is>
          <t>📖粤语学习资料</t>
        </is>
      </c>
      <c r="B1403" s="2" t="str">
        <f>=HYPERLINK("https://pan.quark.cn/s/869e55333936", "https://pan.quark.cn/s/869e55333936")</f>
        <v>https://pan.quark.cn/s/869e55333936</v>
      </c>
      <c r="C1403" t="inlineStr">
        <is>
          <t>23.9MB</t>
        </is>
      </c>
      <c r="D1403" t="inlineStr">
        <is>
          <t>/粤语/语言学习/语言/语言入门/语言</t>
        </is>
      </c>
      <c r="E1403" t="inlineStr">
        <is>
          <t>https://dcn8qexvg13r.feishu.cn/share/base/query/shrcnMqxwwRkV3NUIUxPeab3sec</t>
        </is>
      </c>
      <c r="F1403" t="inlineStr">
        <is>
          <t>请添加微信：k846211</t>
        </is>
      </c>
      <c r="G1403" t="inlineStr">
        <is>
          <t>2026-02-15</t>
        </is>
      </c>
    </row>
    <row r="1404" ht="25.5" customHeight="1">
      <c r="A1404" t="inlineStr">
        <is>
          <t>黑马博学谷 - 12306技术架构解密</t>
        </is>
      </c>
      <c r="B1404" s="2" t="str">
        <f>=HYPERLINK("https://pan.quark.cn/s/45629423f45c", "https://pan.quark.cn/s/45629423f45c")</f>
        <v>https://pan.quark.cn/s/45629423f45c</v>
      </c>
      <c r="C1404" t="inlineStr">
        <is>
          <t>5.4GB</t>
        </is>
      </c>
      <c r="D1404" t="inlineStr">
        <is>
          <t>/12306/技术架构/架构解密/编程/特定行业从业者</t>
        </is>
      </c>
      <c r="E1404" t="inlineStr">
        <is>
          <t>https://dcn8qexvg13r.feishu.cn/share/base/query/shrcnMqxwwRkV3NUIUxPeab3sec</t>
        </is>
      </c>
      <c r="F1404" t="inlineStr">
        <is>
          <t>请添加微信：k846211</t>
        </is>
      </c>
      <c r="G1404" t="inlineStr">
        <is>
          <t>2026-02-15</t>
        </is>
      </c>
    </row>
    <row r="1405" ht="25.5" customHeight="1">
      <c r="A1405" t="inlineStr">
        <is>
          <t>面试算法LeetCode刷题班 - 带源码课件</t>
        </is>
      </c>
      <c r="B1405" s="2" t="str">
        <f>=HYPERLINK("https://pan.quark.cn/s/cb95e0f3b139", "https://pan.quark.cn/s/cb95e0f3b139")</f>
        <v>https://pan.quark.cn/s/cb95e0f3b139</v>
      </c>
      <c r="C1405" t="inlineStr">
        <is>
          <t>2.8GB</t>
        </is>
      </c>
      <c r="D1405" t="inlineStr">
        <is>
          <t>/面试算法/LeetCode/刷题/源码课件/大学生/编程</t>
        </is>
      </c>
      <c r="E1405" t="inlineStr">
        <is>
          <t>https://dcn8qexvg13r.feishu.cn/share/base/query/shrcnMqxwwRkV3NUIUxPeab3sec</t>
        </is>
      </c>
      <c r="F1405" t="inlineStr">
        <is>
          <t>请添加微信：k846211</t>
        </is>
      </c>
      <c r="G1405" t="inlineStr">
        <is>
          <t>2026-02-15</t>
        </is>
      </c>
    </row>
    <row r="1406" ht="25.5" customHeight="1">
      <c r="A1406" t="inlineStr">
        <is>
          <t>【imooc-542】全新升级，基于Vue3新标准，打造后台综合解决方案 - 带源码课件</t>
        </is>
      </c>
      <c r="B1406" s="2" t="str">
        <f>=HYPERLINK("https://pan.quark.cn/s/ac9b6bd34863", "https://pan.quark.cn/s/ac9b6bd34863")</f>
        <v>https://pan.quark.cn/s/ac9b6bd34863</v>
      </c>
      <c r="C1406" t="inlineStr">
        <is>
          <t>7.5GB</t>
        </is>
      </c>
      <c r="D1406" t="inlineStr">
        <is>
          <t>/Vue3/后台解决方案/源码/课件/编程/白领</t>
        </is>
      </c>
      <c r="E1406" t="inlineStr">
        <is>
          <t>https://dcn8qexvg13r.feishu.cn/share/base/query/shrcnMqxwwRkV3NUIUxPeab3sec</t>
        </is>
      </c>
      <c r="F1406" t="inlineStr">
        <is>
          <t>请添加微信：k846211</t>
        </is>
      </c>
      <c r="G1406" t="inlineStr">
        <is>
          <t>2026-02-15</t>
        </is>
      </c>
    </row>
    <row r="1407" ht="25.5" customHeight="1">
      <c r="A1407" t="inlineStr">
        <is>
          <t>人工智能OpenCV人脸识别开发教程 - 带源码课件</t>
        </is>
      </c>
      <c r="B1407" s="2" t="str">
        <f>=HYPERLINK("https://pan.quark.cn/s/915471495661", "https://pan.quark.cn/s/915471495661")</f>
        <v>https://pan.quark.cn/s/915471495661</v>
      </c>
      <c r="C1407" t="inlineStr">
        <is>
          <t>2.5GB</t>
        </is>
      </c>
      <c r="D1407" t="inlineStr">
        <is>
          <t>/人工智能/OpenCV/人脸识别/开发教程/编程/特定行业从业者</t>
        </is>
      </c>
      <c r="E1407" t="inlineStr">
        <is>
          <t>https://dcn8qexvg13r.feishu.cn/share/base/query/shrcnMqxwwRkV3NUIUxPeab3sec</t>
        </is>
      </c>
      <c r="F1407" t="inlineStr">
        <is>
          <t>请添加微信：k846211</t>
        </is>
      </c>
      <c r="G1407" t="inlineStr">
        <is>
          <t>2026-02-15</t>
        </is>
      </c>
    </row>
    <row r="1408" ht="25.5" customHeight="1">
      <c r="A1408" t="inlineStr">
        <is>
          <t>冒牌程序员-毛哥 数据结构和算法分析-C语言（上）</t>
        </is>
      </c>
      <c r="B1408" s="2" t="str">
        <f>=HYPERLINK("https://pan.quark.cn/s/0fba05c17b1b", "https://pan.quark.cn/s/0fba05c17b1b")</f>
        <v>https://pan.quark.cn/s/0fba05c17b1b</v>
      </c>
      <c r="C1408" t="inlineStr">
        <is>
          <t>3.4GB</t>
        </is>
      </c>
      <c r="D1408" t="inlineStr">
        <is>
          <t>/数据结构/算法分析/C语言/编程/大学生/编程</t>
        </is>
      </c>
      <c r="E1408" t="inlineStr">
        <is>
          <t>https://dcn8qexvg13r.feishu.cn/share/base/query/shrcnMqxwwRkV3NUIUxPeab3sec</t>
        </is>
      </c>
      <c r="F1408" t="inlineStr">
        <is>
          <t>请添加微信：k846211</t>
        </is>
      </c>
      <c r="G1408" t="inlineStr">
        <is>
          <t>2026-02-15</t>
        </is>
      </c>
    </row>
    <row r="1409" ht="25.5" customHeight="1">
      <c r="A1409" t="inlineStr">
        <is>
          <t>React-项目实战-硅谷直聘 - 带源码课件</t>
        </is>
      </c>
      <c r="B1409" s="2" t="str">
        <f>=HYPERLINK("https://pan.quark.cn/s/6cdff97890a3", "https://pan.quark.cn/s/6cdff97890a3")</f>
        <v>https://pan.quark.cn/s/6cdff97890a3</v>
      </c>
      <c r="C1409" t="inlineStr">
        <is>
          <t>6.1GB</t>
        </is>
      </c>
      <c r="D1409" t="inlineStr">
        <is>
          <t>/React/项目实战/硅谷直聘/源码课件/编程/特定行业从业者</t>
        </is>
      </c>
      <c r="E1409" t="inlineStr">
        <is>
          <t>https://dcn8qexvg13r.feishu.cn/share/base/query/shrcnMqxwwRkV3NUIUxPeab3sec</t>
        </is>
      </c>
      <c r="F1409" t="inlineStr">
        <is>
          <t>请添加微信：k846211</t>
        </is>
      </c>
      <c r="G1409" t="inlineStr">
        <is>
          <t>2026-02-15</t>
        </is>
      </c>
    </row>
    <row r="1410" ht="25.5" customHeight="1">
      <c r="A1410" t="inlineStr">
        <is>
          <t>090355_DeepSeek（智能体）绘画小红书训练营★New</t>
        </is>
      </c>
      <c r="B1410" s="2" t="str">
        <f>=HYPERLINK("https://pan.quark.cn/s/0858e19182db", "https://pan.quark.cn/s/0858e19182db")</f>
        <v>https://pan.quark.cn/s/0858e19182db</v>
      </c>
      <c r="C1410" t="inlineStr">
        <is>
          <t>1.9GB</t>
        </is>
      </c>
      <c r="D1410" t="inlineStr">
        <is>
          <t>/绘画/小红书运营/智能体/训练营/白领/技能入门</t>
        </is>
      </c>
      <c r="E1410" t="inlineStr">
        <is>
          <t>https://dcn8qexvg13r.feishu.cn/share/base/query/shrcnMqxwwRkV3NUIUxPeab3sec</t>
        </is>
      </c>
      <c r="F1410" t="inlineStr">
        <is>
          <t>请添加微信：k846211</t>
        </is>
      </c>
      <c r="G1410" t="inlineStr">
        <is>
          <t>2026-02-15</t>
        </is>
      </c>
    </row>
    <row r="1411" ht="25.5" customHeight="1">
      <c r="A1411" t="inlineStr">
        <is>
          <t>【深蓝学院】人脸识别 - 带源码课件</t>
        </is>
      </c>
      <c r="B1411" s="2" t="str">
        <f>=HYPERLINK("https://pan.quark.cn/s/55a4c98b94f9", "https://pan.quark.cn/s/55a4c98b94f9")</f>
        <v>https://pan.quark.cn/s/55a4c98b94f9</v>
      </c>
      <c r="C1411" t="inlineStr">
        <is>
          <t>2.3GB</t>
        </is>
      </c>
      <c r="D1411" t="inlineStr">
        <is>
          <t>/人脸识别/源码/课件/计算机视觉/大学生/特定行业从业者</t>
        </is>
      </c>
      <c r="E1411" t="inlineStr">
        <is>
          <t>https://dcn8qexvg13r.feishu.cn/share/base/query/shrcnMqxwwRkV3NUIUxPeab3sec</t>
        </is>
      </c>
      <c r="F1411" t="inlineStr">
        <is>
          <t>请添加微信：k846211</t>
        </is>
      </c>
      <c r="G1411" t="inlineStr">
        <is>
          <t>2026-02-15</t>
        </is>
      </c>
    </row>
    <row r="1412" ht="25.5" customHeight="1">
      <c r="A1412" t="inlineStr">
        <is>
          <t>【老男孩教育】网络安全20期金牌班</t>
        </is>
      </c>
      <c r="B1412" s="2" t="str">
        <f>=HYPERLINK("https://pan.quark.cn/s/e09cafc654a7", "https://pan.quark.cn/s/e09cafc654a7")</f>
        <v>https://pan.quark.cn/s/e09cafc654a7</v>
      </c>
      <c r="C1412" t="inlineStr">
        <is>
          <t>106.8GB</t>
        </is>
      </c>
      <c r="D1412" t="inlineStr">
        <is>
          <t>/网络安全/金牌班/技能培训/20期/大学生/特定行业从业者</t>
        </is>
      </c>
      <c r="E1412" t="inlineStr">
        <is>
          <t>https://dcn8qexvg13r.feishu.cn/share/base/query/shrcnMqxwwRkV3NUIUxPeab3sec</t>
        </is>
      </c>
      <c r="F1412" t="inlineStr">
        <is>
          <t>请添加微信：k846211</t>
        </is>
      </c>
      <c r="G1412" t="inlineStr">
        <is>
          <t>2026-02-15</t>
        </is>
      </c>
    </row>
    <row r="1413" ht="25.5" customHeight="1">
      <c r="A1413" t="inlineStr">
        <is>
          <t>黑马博学谷 - Flutter从入门到进阶 企业级租房网项目实战</t>
        </is>
      </c>
      <c r="B1413" s="2" t="str">
        <f>=HYPERLINK("https://pan.quark.cn/s/8c83b020df9d", "https://pan.quark.cn/s/8c83b020df9d")</f>
        <v>https://pan.quark.cn/s/8c83b020df9d</v>
      </c>
      <c r="C1413" t="inlineStr">
        <is>
          <t>17.1GB</t>
        </is>
      </c>
      <c r="D1413" t="inlineStr">
        <is>
          <t>/Flutter/企业级项目/编程进阶/租房网实战/编程/特定行业从业者</t>
        </is>
      </c>
      <c r="E1413" t="inlineStr">
        <is>
          <t>https://dcn8qexvg13r.feishu.cn/share/base/query/shrcnMqxwwRkV3NUIUxPeab3sec</t>
        </is>
      </c>
      <c r="F1413" t="inlineStr">
        <is>
          <t>请添加微信：k846211</t>
        </is>
      </c>
      <c r="G1413" t="inlineStr">
        <is>
          <t>2026-02-15</t>
        </is>
      </c>
    </row>
    <row r="1414" ht="25.5" customHeight="1">
      <c r="A1414" t="inlineStr">
        <is>
          <t>【动力节点】Java基础班</t>
        </is>
      </c>
      <c r="B1414" s="2" t="str">
        <f>=HYPERLINK("https://pan.quark.cn/s/d84cbb098eb4", "https://pan.quark.cn/s/d84cbb098eb4")</f>
        <v>https://pan.quark.cn/s/d84cbb098eb4</v>
      </c>
      <c r="C1414" t="inlineStr">
        <is>
          <t>56.6GB</t>
        </is>
      </c>
      <c r="D1414" t="inlineStr">
        <is>
          <t>/Java/基础班/编程学习/动力节点/大学生/编程</t>
        </is>
      </c>
      <c r="E1414" t="inlineStr">
        <is>
          <t>https://dcn8qexvg13r.feishu.cn/share/base/query/shrcnMqxwwRkV3NUIUxPeab3sec</t>
        </is>
      </c>
      <c r="F1414" t="inlineStr">
        <is>
          <t>请添加微信：k846211</t>
        </is>
      </c>
      <c r="G1414" t="inlineStr">
        <is>
          <t>2026-02-15</t>
        </is>
      </c>
    </row>
    <row r="1415" ht="25.5" customHeight="1">
      <c r="A1415" t="inlineStr">
        <is>
          <t>尚硅谷Java技术之高频面试题-v2025.1（html版本）</t>
        </is>
      </c>
      <c r="B1415" s="2" t="str">
        <f>=HYPERLINK("https://pan.quark.cn/s/dc735eddfd49", "https://pan.quark.cn/s/dc735eddfd49")</f>
        <v>https://pan.quark.cn/s/dc735eddfd49</v>
      </c>
      <c r="C1415" t="inlineStr">
        <is>
          <t>22.0MB</t>
        </is>
      </c>
      <c r="D1415" t="inlineStr">
        <is>
          <t>/Java/面试题/高频/编程/大学生/考研/考公/考证党</t>
        </is>
      </c>
      <c r="E1415" t="inlineStr">
        <is>
          <t>https://dcn8qexvg13r.feishu.cn/share/base/query/shrcnMqxwwRkV3NUIUxPeab3sec</t>
        </is>
      </c>
      <c r="F1415" t="inlineStr">
        <is>
          <t>请添加微信：k846211</t>
        </is>
      </c>
      <c r="G1415" t="inlineStr">
        <is>
          <t>2026-02-15</t>
        </is>
      </c>
    </row>
    <row r="1416" ht="25.5" customHeight="1">
      <c r="A1416" t="inlineStr">
        <is>
          <t>黑马博学谷 - 企业级微信小程序 从实战到重构提升</t>
        </is>
      </c>
      <c r="B1416" s="2" t="str">
        <f>=HYPERLINK("https://pan.quark.cn/s/be50871b21f2", "https://pan.quark.cn/s/be50871b21f2")</f>
        <v>https://pan.quark.cn/s/be50871b21f2</v>
      </c>
      <c r="C1416" t="inlineStr">
        <is>
          <t>15.7GB</t>
        </is>
      </c>
      <c r="D1416" t="inlineStr">
        <is>
          <t>/微信小程序/企业级开发/实战/重构/白领/特定行业从业者/编程</t>
        </is>
      </c>
      <c r="E1416" t="inlineStr">
        <is>
          <t>https://dcn8qexvg13r.feishu.cn/share/base/query/shrcnMqxwwRkV3NUIUxPeab3sec</t>
        </is>
      </c>
      <c r="F1416" t="inlineStr">
        <is>
          <t>请添加微信：k846211</t>
        </is>
      </c>
      <c r="G1416" t="inlineStr">
        <is>
          <t>2026-02-15</t>
        </is>
      </c>
    </row>
    <row r="1417" ht="25.5" customHeight="1">
      <c r="A1417" t="inlineStr">
        <is>
          <t>2月2日付费文</t>
        </is>
      </c>
      <c r="B1417" s="2" t="str">
        <f>=HYPERLINK("https://pan.quark.cn/s/ffbd2248c0e1", "https://pan.quark.cn/s/ffbd2248c0e1")</f>
        <v>https://pan.quark.cn/s/ffbd2248c0e1</v>
      </c>
      <c r="C1417" t="inlineStr">
        <is>
          <t>199.6MB</t>
        </is>
      </c>
      <c r="D1417" t="inlineStr">
        <is>
          <t>/付费文/2月2日/其他</t>
        </is>
      </c>
      <c r="E1417" t="inlineStr">
        <is>
          <t>https://dcn8qexvg13r.feishu.cn/share/base/query/shrcnMqxwwRkV3NUIUxPeab3sec</t>
        </is>
      </c>
      <c r="F1417" t="inlineStr">
        <is>
          <t>请添加微信：k846211</t>
        </is>
      </c>
      <c r="G1417" t="inlineStr">
        <is>
          <t>2026-02-15</t>
        </is>
      </c>
    </row>
    <row r="1418" ht="25.5" customHeight="1">
      <c r="A1418" t="inlineStr">
        <is>
          <t>mksz921-Vue3.5+Electron+大模型 跨平台AI桌面聊天应用实战</t>
        </is>
      </c>
      <c r="B1418" s="2" t="str">
        <f>=HYPERLINK("https://pan.quark.cn/s/e60b1d5d0f5c", "https://pan.quark.cn/s/e60b1d5d0f5c")</f>
        <v>https://pan.quark.cn/s/e60b1d5d0f5c</v>
      </c>
      <c r="C1418" t="inlineStr">
        <is>
          <t>7.1GB</t>
        </is>
      </c>
      <c r="D1418" t="inlineStr">
        <is>
          <t>/Vue3.5/Electron/大模型/AI桌面聊天应用/编程/特定行业从业者</t>
        </is>
      </c>
      <c r="E1418" t="inlineStr">
        <is>
          <t>https://dcn8qexvg13r.feishu.cn/share/base/query/shrcnMqxwwRkV3NUIUxPeab3sec</t>
        </is>
      </c>
      <c r="F1418" t="inlineStr">
        <is>
          <t>请添加微信：k846211</t>
        </is>
      </c>
      <c r="G1418" t="inlineStr">
        <is>
          <t>2026-02-15</t>
        </is>
      </c>
    </row>
    <row r="1419" ht="25.5" customHeight="1">
      <c r="A1419" t="inlineStr">
        <is>
          <t>京峰教育-Linux云计算构架师+DevOps虚拟化班</t>
        </is>
      </c>
      <c r="B1419" s="2" t="str">
        <f>=HYPERLINK("https://pan.quark.cn/s/5e3e35120284", "https://pan.quark.cn/s/5e3e35120284")</f>
        <v>https://pan.quark.cn/s/5e3e35120284</v>
      </c>
      <c r="C1419" t="inlineStr">
        <is>
          <t>47.7GB</t>
        </is>
      </c>
      <c r="D1419" t="inlineStr">
        <is>
          <t>/Linux/云计算/DevOps/虚拟化/大学生/特定行业从业者</t>
        </is>
      </c>
      <c r="E1419" t="inlineStr">
        <is>
          <t>https://dcn8qexvg13r.feishu.cn/share/base/query/shrcnMqxwwRkV3NUIUxPeab3sec</t>
        </is>
      </c>
      <c r="F1419" t="inlineStr">
        <is>
          <t>请添加微信：k846211</t>
        </is>
      </c>
      <c r="G1419" t="inlineStr">
        <is>
          <t>2026-02-15</t>
        </is>
      </c>
    </row>
    <row r="1420" ht="25.5" customHeight="1">
      <c r="A1420" t="inlineStr">
        <is>
          <t>先知-SRC漏洞挖掘经验分享</t>
        </is>
      </c>
      <c r="B1420" s="2" t="str">
        <f>=HYPERLINK("https://pan.quark.cn/s/57be78b75789", "https://pan.quark.cn/s/57be78b75789")</f>
        <v>https://pan.quark.cn/s/57be78b75789</v>
      </c>
      <c r="C1420" t="inlineStr">
        <is>
          <t>6.8GB</t>
        </is>
      </c>
      <c r="D1420" t="inlineStr">
        <is>
          <t>/SRC/漏洞挖掘/经验分享/安全技术/特定行业从业者/编程</t>
        </is>
      </c>
      <c r="E1420" t="inlineStr">
        <is>
          <t>https://dcn8qexvg13r.feishu.cn/share/base/query/shrcnMqxwwRkV3NUIUxPeab3sec</t>
        </is>
      </c>
      <c r="F1420" t="inlineStr">
        <is>
          <t>请添加微信：k846211</t>
        </is>
      </c>
      <c r="G1420" t="inlineStr">
        <is>
          <t>2026-02-15</t>
        </is>
      </c>
    </row>
    <row r="1421" ht="25.5" customHeight="1">
      <c r="A1421" t="inlineStr">
        <is>
          <t>2月1日付费文</t>
        </is>
      </c>
      <c r="B1421" s="2" t="str">
        <f>=HYPERLINK("https://pan.quark.cn/s/40d2738d60f7", "https://pan.quark.cn/s/40d2738d60f7")</f>
        <v>https://pan.quark.cn/s/40d2738d60f7</v>
      </c>
      <c r="C1421" t="inlineStr">
        <is>
          <t>198.8MB</t>
        </is>
      </c>
      <c r="D1421" t="inlineStr">
        <is>
          <t>/付费文/2月1日/其他</t>
        </is>
      </c>
      <c r="E1421" t="inlineStr">
        <is>
          <t>https://dcn8qexvg13r.feishu.cn/share/base/query/shrcnMqxwwRkV3NUIUxPeab3sec</t>
        </is>
      </c>
      <c r="F1421" t="inlineStr">
        <is>
          <t>请添加微信：k846211</t>
        </is>
      </c>
      <c r="G1421" t="inlineStr">
        <is>
          <t>2026-02-15</t>
        </is>
      </c>
    </row>
    <row r="1422" ht="25.5" customHeight="1">
      <c r="A1422" t="inlineStr">
        <is>
          <t>黑马【年度钻石会员】新媒体+短视频直播运营</t>
        </is>
      </c>
      <c r="B1422" s="2" t="str">
        <f>=HYPERLINK("https://pan.quark.cn/s/90d6e7ae96a7", "https://pan.quark.cn/s/90d6e7ae96a7")</f>
        <v>https://pan.quark.cn/s/90d6e7ae96a7</v>
      </c>
      <c r="C1422" t="inlineStr">
        <is>
          <t>15.3GB</t>
        </is>
      </c>
      <c r="D1422" t="inlineStr">
        <is>
          <t>/新媒体运营/短视频运营/直播运营/年度会员/白领/特定行业从业者</t>
        </is>
      </c>
      <c r="E1422" t="inlineStr">
        <is>
          <t>https://dcn8qexvg13r.feishu.cn/share/base/query/shrcnMqxwwRkV3NUIUxPeab3sec</t>
        </is>
      </c>
      <c r="F1422" t="inlineStr">
        <is>
          <t>请添加微信：k846211</t>
        </is>
      </c>
      <c r="G1422" t="inlineStr">
        <is>
          <t>2026-02-15</t>
        </is>
      </c>
    </row>
    <row r="1423" ht="25.5" customHeight="1">
      <c r="A1423" t="inlineStr">
        <is>
          <t>2023</t>
        </is>
      </c>
      <c r="B1423" s="2" t="str">
        <f>=HYPERLINK("https://pan.quark.cn/s/cfe8f412b183", "https://pan.quark.cn/s/cfe8f412b183")</f>
        <v>https://pan.quark.cn/s/cfe8f412b183</v>
      </c>
      <c r="C1423" t="inlineStr">
        <is>
          <t>6.4GB</t>
        </is>
      </c>
      <c r="D1423" t="inlineStr">
        <is>
          <t>/2023/年份/其他</t>
        </is>
      </c>
      <c r="E1423" t="inlineStr">
        <is>
          <t>https://dcn8qexvg13r.feishu.cn/share/base/query/shrcnMqxwwRkV3NUIUxPeab3sec</t>
        </is>
      </c>
      <c r="F1423" t="inlineStr">
        <is>
          <t>请添加微信：k846211</t>
        </is>
      </c>
      <c r="G1423" t="inlineStr">
        <is>
          <t>2026-02-15</t>
        </is>
      </c>
    </row>
    <row r="1424" ht="25.5" customHeight="1">
      <c r="A1424" t="inlineStr">
        <is>
          <t>小曾 中级</t>
        </is>
      </c>
      <c r="B1424" s="2" t="str">
        <f>=HYPERLINK("https://pan.quark.cn/s/741b366f014f", "https://pan.quark.cn/s/741b366f014f")</f>
        <v>https://pan.quark.cn/s/741b366f014f</v>
      </c>
      <c r="C1424" t="inlineStr">
        <is>
          <t>15.2GB</t>
        </is>
      </c>
      <c r="D1424" t="inlineStr">
        <is>
          <t>/中级/技能入门/白领/技能入门</t>
        </is>
      </c>
      <c r="E1424" t="inlineStr">
        <is>
          <t>https://dcn8qexvg13r.feishu.cn/share/base/query/shrcnMqxwwRkV3NUIUxPeab3sec</t>
        </is>
      </c>
      <c r="F1424" t="inlineStr">
        <is>
          <t>请添加微信：k846211</t>
        </is>
      </c>
      <c r="G1424" t="inlineStr">
        <is>
          <t>2026-02-15</t>
        </is>
      </c>
    </row>
    <row r="1425" ht="25.5" customHeight="1">
      <c r="A1425" t="inlineStr">
        <is>
          <t>蚁景-应急响应工程师特训班</t>
        </is>
      </c>
      <c r="B1425" s="2" t="str">
        <f>=HYPERLINK("https://pan.quark.cn/s/8625e3818960", "https://pan.quark.cn/s/8625e3818960")</f>
        <v>https://pan.quark.cn/s/8625e3818960</v>
      </c>
      <c r="C1425" t="inlineStr">
        <is>
          <t>18.0GB</t>
        </is>
      </c>
      <c r="D1425" t="inlineStr">
        <is>
          <t>/应急响应/工程师/特训班/技能培训/特定行业从业者</t>
        </is>
      </c>
      <c r="E1425" t="inlineStr">
        <is>
          <t>https://dcn8qexvg13r.feishu.cn/share/base/query/shrcnMqxwwRkV3NUIUxPeab3sec</t>
        </is>
      </c>
      <c r="F1425" t="inlineStr">
        <is>
          <t>请添加微信：k846211</t>
        </is>
      </c>
      <c r="G1425" t="inlineStr">
        <is>
          <t>2026-02-15</t>
        </is>
      </c>
    </row>
    <row r="1426" ht="25.5" customHeight="1">
      <c r="A1426" t="inlineStr">
        <is>
          <t>蚁景网安-渗透测试工程师特训班15期</t>
        </is>
      </c>
      <c r="B1426" s="2" t="str">
        <f>=HYPERLINK("https://pan.quark.cn/s/e49e899deb7d", "https://pan.quark.cn/s/e49e899deb7d")</f>
        <v>https://pan.quark.cn/s/e49e899deb7d</v>
      </c>
      <c r="C1426" t="inlineStr">
        <is>
          <t>41.3GB</t>
        </is>
      </c>
      <c r="D1426" t="inlineStr">
        <is>
          <t>/渗透测试/网络安全/工程师培训/特训班/特定行业从业者/技能入门</t>
        </is>
      </c>
      <c r="E1426" t="inlineStr">
        <is>
          <t>https://dcn8qexvg13r.feishu.cn/share/base/query/shrcnMqxwwRkV3NUIUxPeab3sec</t>
        </is>
      </c>
      <c r="F1426" t="inlineStr">
        <is>
          <t>请添加微信：k846211</t>
        </is>
      </c>
      <c r="G1426" t="inlineStr">
        <is>
          <t>2026-02-15</t>
        </is>
      </c>
    </row>
    <row r="1427" ht="25.5" customHeight="1">
      <c r="A1427" t="inlineStr">
        <is>
          <t>蚁景CTF-WEB实战技能特训班</t>
        </is>
      </c>
      <c r="B1427" s="2" t="str">
        <f>=HYPERLINK("https://pan.quark.cn/s/38fbc00dc7b3", "https://pan.quark.cn/s/38fbc00dc7b3")</f>
        <v>https://pan.quark.cn/s/38fbc00dc7b3</v>
      </c>
      <c r="C1427" t="inlineStr">
        <is>
          <t>4.8GB</t>
        </is>
      </c>
      <c r="D1427" t="inlineStr">
        <is>
          <t>/CTF/WEB安全/技能特训/实战/大学生/特定行业从业者</t>
        </is>
      </c>
      <c r="E1427" t="inlineStr">
        <is>
          <t>https://dcn8qexvg13r.feishu.cn/share/base/query/shrcnMqxwwRkV3NUIUxPeab3sec</t>
        </is>
      </c>
      <c r="F1427" t="inlineStr">
        <is>
          <t>请添加微信：k846211</t>
        </is>
      </c>
      <c r="G1427" t="inlineStr">
        <is>
          <t>2026-02-15</t>
        </is>
      </c>
    </row>
    <row r="1428" ht="25.5" customHeight="1">
      <c r="A1428" t="inlineStr">
        <is>
          <t>八方网域-HVV实战专题</t>
        </is>
      </c>
      <c r="B1428" s="2" t="str">
        <f>=HYPERLINK("https://pan.quark.cn/s/fae38e7c3957", "https://pan.quark.cn/s/fae38e7c3957")</f>
        <v>https://pan.quark.cn/s/fae38e7c3957</v>
      </c>
      <c r="C1428" t="inlineStr">
        <is>
          <t>12.4GB</t>
        </is>
      </c>
      <c r="D1428" t="inlineStr">
        <is>
          <t>/HVV/实战/网络安全/专题/特定行业从业者</t>
        </is>
      </c>
      <c r="E1428" t="inlineStr">
        <is>
          <t>https://dcn8qexvg13r.feishu.cn/share/base/query/shrcnMqxwwRkV3NUIUxPeab3sec</t>
        </is>
      </c>
      <c r="F1428" t="inlineStr">
        <is>
          <t>请添加微信：k846211</t>
        </is>
      </c>
      <c r="G1428" t="inlineStr">
        <is>
          <t>2026-02-15</t>
        </is>
      </c>
    </row>
    <row r="1429" ht="25.5" customHeight="1">
      <c r="A1429" t="inlineStr">
        <is>
          <t>生财有术大航海，24部全套培训教程</t>
        </is>
      </c>
      <c r="B1429" s="2" t="str">
        <f>=HYPERLINK("https://pan.quark.cn/s/fc271e1514ce", "https://pan.quark.cn/s/fc271e1514ce")</f>
        <v>https://pan.quark.cn/s/fc271e1514ce</v>
      </c>
      <c r="C1429" t="inlineStr">
        <is>
          <t>2.6GB</t>
        </is>
      </c>
      <c r="D1429" t="inlineStr">
        <is>
          <t>/生财有术/大航海/培训教程/创业/白领/管理者</t>
        </is>
      </c>
      <c r="E1429" t="inlineStr">
        <is>
          <t>https://dcn8qexvg13r.feishu.cn/share/base/query/shrcnMqxwwRkV3NUIUxPeab3sec</t>
        </is>
      </c>
      <c r="F1429" t="inlineStr">
        <is>
          <t>请添加微信：k846211</t>
        </is>
      </c>
      <c r="G1429" t="inlineStr">
        <is>
          <t>2026-02-15</t>
        </is>
      </c>
    </row>
    <row r="1430" ht="25.5" customHeight="1">
      <c r="A1430" t="inlineStr">
        <is>
          <t>守夜人Jaden - 2023网络安全攻防渗透大师课 - 带源码课件</t>
        </is>
      </c>
      <c r="B1430" s="2" t="str">
        <f>=HYPERLINK("https://pan.quark.cn/s/001f5814f53f", "https://pan.quark.cn/s/001f5814f53f")</f>
        <v>https://pan.quark.cn/s/001f5814f53f</v>
      </c>
      <c r="C1430" t="inlineStr">
        <is>
          <t>93.9GB</t>
        </is>
      </c>
      <c r="D1430" t="inlineStr">
        <is>
          <t>/网络安全/渗透测试/攻防技术/源码课件/特定行业从业者/编程</t>
        </is>
      </c>
      <c r="E1430" t="inlineStr">
        <is>
          <t>https://dcn8qexvg13r.feishu.cn/share/base/query/shrcnMqxwwRkV3NUIUxPeab3sec</t>
        </is>
      </c>
      <c r="F1430" t="inlineStr">
        <is>
          <t>请添加微信：k846211</t>
        </is>
      </c>
      <c r="G1430" t="inlineStr">
        <is>
          <t>2026-02-15</t>
        </is>
      </c>
    </row>
    <row r="1431" ht="25.5" customHeight="1">
      <c r="A1431" t="inlineStr">
        <is>
          <t>奔跑吧Linux社区合集 第1+2+3+4季+死机专题+RISC-V高级+arm64高级+vim+git</t>
        </is>
      </c>
      <c r="B1431" s="2" t="str">
        <f>=HYPERLINK("https://pan.quark.cn/s/d22ab4d29c5b", "https://pan.quark.cn/s/d22ab4d29c5b")</f>
        <v>https://pan.quark.cn/s/d22ab4d29c5b</v>
      </c>
      <c r="C1431" t="inlineStr">
        <is>
          <t>22.9GB</t>
        </is>
      </c>
      <c r="D1431" t="inlineStr">
        <is>
          <t>/Linux/RISC-V/arm64/vim/git/编程/特定行业从业者</t>
        </is>
      </c>
      <c r="E1431" t="inlineStr">
        <is>
          <t>https://dcn8qexvg13r.feishu.cn/share/base/query/shrcnMqxwwRkV3NUIUxPeab3sec</t>
        </is>
      </c>
      <c r="F1431" t="inlineStr">
        <is>
          <t>请添加微信：k846211</t>
        </is>
      </c>
      <c r="G1431" t="inlineStr">
        <is>
          <t>2026-02-15</t>
        </is>
      </c>
    </row>
    <row r="1432" ht="25.5" customHeight="1">
      <c r="A1432" t="inlineStr">
        <is>
          <t>网易云课堂-七米-Go语言微服务与云原生</t>
        </is>
      </c>
      <c r="B1432" s="2" t="str">
        <f>=HYPERLINK("https://pan.quark.cn/s/2cfecc030597", "https://pan.quark.cn/s/2cfecc030597")</f>
        <v>https://pan.quark.cn/s/2cfecc030597</v>
      </c>
      <c r="C1432" t="inlineStr">
        <is>
          <t>14.4GB</t>
        </is>
      </c>
      <c r="D1432" t="inlineStr">
        <is>
          <t>/Go语言/微服务/云原生/网易云课堂/编程/特定行业从业者</t>
        </is>
      </c>
      <c r="E1432" t="inlineStr">
        <is>
          <t>https://dcn8qexvg13r.feishu.cn/share/base/query/shrcnMqxwwRkV3NUIUxPeab3sec</t>
        </is>
      </c>
      <c r="F1432" t="inlineStr">
        <is>
          <t>请添加微信：k846211</t>
        </is>
      </c>
      <c r="G1432" t="inlineStr">
        <is>
          <t>2026-02-15</t>
        </is>
      </c>
    </row>
    <row r="1433" ht="25.5" customHeight="1">
      <c r="A1433" t="inlineStr">
        <is>
          <t>尚硅谷MCP&amp;A2A实战指南</t>
        </is>
      </c>
      <c r="B1433" s="2" t="str">
        <f>=HYPERLINK("https://pan.quark.cn/s/55bb0339e183", "https://pan.quark.cn/s/55bb0339e183")</f>
        <v>https://pan.quark.cn/s/55bb0339e183</v>
      </c>
      <c r="C1433" t="inlineStr">
        <is>
          <t>1.1GB</t>
        </is>
      </c>
      <c r="D1433" t="inlineStr">
        <is>
          <t>/MCP&amp;A2A/实战指南/尚硅谷/编程/特定行业从业者/编程</t>
        </is>
      </c>
      <c r="E1433" t="inlineStr">
        <is>
          <t>https://dcn8qexvg13r.feishu.cn/share/base/query/shrcnMqxwwRkV3NUIUxPeab3sec</t>
        </is>
      </c>
      <c r="F1433" t="inlineStr">
        <is>
          <t>请添加微信：k846211</t>
        </is>
      </c>
      <c r="G1433" t="inlineStr">
        <is>
          <t>2026-02-15</t>
        </is>
      </c>
    </row>
    <row r="1434" ht="25.5" customHeight="1">
      <c r="A1434" t="inlineStr">
        <is>
          <t>葵黑黑Blender课程第08期</t>
        </is>
      </c>
      <c r="B1434" s="2" t="str">
        <f>=HYPERLINK("https://pan.quark.cn/s/60e7d4137f82", "https://pan.quark.cn/s/60e7d4137f82")</f>
        <v>https://pan.quark.cn/s/60e7d4137f82</v>
      </c>
      <c r="C1434" t="inlineStr">
        <is>
          <t>7.0GB</t>
        </is>
      </c>
      <c r="D1434" t="inlineStr">
        <is>
          <t>/Blender/课程/三维设计/技能入门/特定行业从业者/技能入门</t>
        </is>
      </c>
      <c r="E1434" t="inlineStr">
        <is>
          <t>https://dcn8qexvg13r.feishu.cn/share/base/query/shrcnMqxwwRkV3NUIUxPeab3sec</t>
        </is>
      </c>
      <c r="F1434" t="inlineStr">
        <is>
          <t>请添加微信：k846211</t>
        </is>
      </c>
      <c r="G1434" t="inlineStr">
        <is>
          <t>2026-02-15</t>
        </is>
      </c>
    </row>
    <row r="1435" ht="25.5" customHeight="1">
      <c r="A1435" t="inlineStr">
        <is>
          <t>夏天软考2026年5月</t>
        </is>
      </c>
      <c r="B1435" s="2" t="str">
        <f>=HYPERLINK("https://pan.quark.cn/s/8029154938bb", "https://pan.quark.cn/s/8029154938bb")</f>
        <v>https://pan.quark.cn/s/8029154938bb</v>
      </c>
      <c r="C1435" t="inlineStr">
        <is>
          <t>5.3GB</t>
        </is>
      </c>
      <c r="D1435" t="inlineStr">
        <is>
          <t>/软考/2026年5月/备考资料/职业资格考试/考研/考公/考证党</t>
        </is>
      </c>
      <c r="E1435" t="inlineStr">
        <is>
          <t>https://dcn8qexvg13r.feishu.cn/share/base/query/shrcnMqxwwRkV3NUIUxPeab3sec</t>
        </is>
      </c>
      <c r="F1435" t="inlineStr">
        <is>
          <t>请添加微信：k846211</t>
        </is>
      </c>
      <c r="G1435" t="inlineStr">
        <is>
          <t>2026-02-15</t>
        </is>
      </c>
    </row>
    <row r="1436" ht="25.5" customHeight="1">
      <c r="A1436" t="inlineStr">
        <is>
          <t>1月27日付费文</t>
        </is>
      </c>
      <c r="B1436" s="2" t="str">
        <f>=HYPERLINK("https://pan.quark.cn/s/2b996f8627c9", "https://pan.quark.cn/s/2b996f8627c9")</f>
        <v>https://pan.quark.cn/s/2b996f8627c9</v>
      </c>
      <c r="C1436" t="inlineStr">
        <is>
          <t>376.8MB</t>
        </is>
      </c>
      <c r="D1436" t="inlineStr">
        <is>
          <t>/付费内容/1月27日/其他</t>
        </is>
      </c>
      <c r="E1436" t="inlineStr">
        <is>
          <t>https://dcn8qexvg13r.feishu.cn/share/base/query/shrcnMqxwwRkV3NUIUxPeab3sec</t>
        </is>
      </c>
      <c r="F1436" t="inlineStr">
        <is>
          <t>请添加微信：k846211</t>
        </is>
      </c>
      <c r="G1436" t="inlineStr">
        <is>
          <t>2026-02-15</t>
        </is>
      </c>
    </row>
    <row r="1437" ht="25.5" customHeight="1">
      <c r="A1437" t="inlineStr">
        <is>
          <t>Coze从入门到精通，全行业AI智能体搭建实战课程</t>
        </is>
      </c>
      <c r="B1437" s="2" t="str">
        <f>=HYPERLINK("https://pan.quark.cn/s/a30574ee936a", "https://pan.quark.cn/s/a30574ee936a")</f>
        <v>https://pan.quark.cn/s/a30574ee936a</v>
      </c>
      <c r="C1437" t="inlineStr">
        <is>
          <t>2.8GB</t>
        </is>
      </c>
      <c r="D1437" t="inlineStr">
        <is>
          <t>/Coze/AI智能体搭建/全行业实战/课程/白领/特定行业从业者</t>
        </is>
      </c>
      <c r="E1437" t="inlineStr">
        <is>
          <t>https://dcn8qexvg13r.feishu.cn/share/base/query/shrcnMqxwwRkV3NUIUxPeab3sec</t>
        </is>
      </c>
      <c r="F1437" t="inlineStr">
        <is>
          <t>请添加微信：k846211</t>
        </is>
      </c>
      <c r="G1437" t="inlineStr">
        <is>
          <t>2026-02-15</t>
        </is>
      </c>
    </row>
    <row r="1438" ht="25.5" customHeight="1">
      <c r="A1438" t="inlineStr">
        <is>
          <t>夜幕-JavaScript 逆向系列课 + 高阶课（SVIP完结） - 带源码课件</t>
        </is>
      </c>
      <c r="B1438" s="2" t="str">
        <f>=HYPERLINK("https://pan.quark.cn/s/746a73f1da4f", "https://pan.quark.cn/s/746a73f1da4f")</f>
        <v>https://pan.quark.cn/s/746a73f1da4f</v>
      </c>
      <c r="C1438" t="inlineStr">
        <is>
          <t>5.2GB</t>
        </is>
      </c>
      <c r="D1438" t="inlineStr">
        <is>
          <t>/JavaScript/逆向开发/高阶课程/源码课件/编程/特定行业从业者</t>
        </is>
      </c>
      <c r="E1438" t="inlineStr">
        <is>
          <t>https://dcn8qexvg13r.feishu.cn/share/base/query/shrcnMqxwwRkV3NUIUxPeab3sec</t>
        </is>
      </c>
      <c r="F1438" t="inlineStr">
        <is>
          <t>请添加微信：k846211</t>
        </is>
      </c>
      <c r="G1438" t="inlineStr">
        <is>
          <t>2026-02-15</t>
        </is>
      </c>
    </row>
    <row r="1439" ht="25.5" customHeight="1">
      <c r="A1439" t="inlineStr">
        <is>
          <t>蓝桥杯嵌入式教程完整版</t>
        </is>
      </c>
      <c r="B1439" s="2" t="str">
        <f>=HYPERLINK("https://pan.quark.cn/s/fa0459ad1e5c", "https://pan.quark.cn/s/fa0459ad1e5c")</f>
        <v>https://pan.quark.cn/s/fa0459ad1e5c</v>
      </c>
      <c r="C1439" t="inlineStr">
        <is>
          <t>20.1GB</t>
        </is>
      </c>
      <c r="D1439" t="inlineStr">
        <is>
          <t>/蓝桥杯/嵌入式/教程/编程/大学生/考研/考公/考证党</t>
        </is>
      </c>
      <c r="E1439" t="inlineStr">
        <is>
          <t>https://dcn8qexvg13r.feishu.cn/share/base/query/shrcnMqxwwRkV3NUIUxPeab3sec</t>
        </is>
      </c>
      <c r="F1439" t="inlineStr">
        <is>
          <t>请添加微信：k846211</t>
        </is>
      </c>
      <c r="G1439" t="inlineStr">
        <is>
          <t>2026-02-15</t>
        </is>
      </c>
    </row>
    <row r="1440" ht="25.5" customHeight="1">
      <c r="A1440" t="inlineStr">
        <is>
          <t>1月26日付费文</t>
        </is>
      </c>
      <c r="B1440" s="2" t="str">
        <f>=HYPERLINK("https://pan.quark.cn/s/475543f1c5db", "https://pan.quark.cn/s/475543f1c5db")</f>
        <v>https://pan.quark.cn/s/475543f1c5db</v>
      </c>
      <c r="C1440" t="inlineStr">
        <is>
          <t>222.5MB</t>
        </is>
      </c>
      <c r="D1440" t="inlineStr">
        <is>
          <t>/付费文/1月26日/其他</t>
        </is>
      </c>
      <c r="E1440" t="inlineStr">
        <is>
          <t>https://dcn8qexvg13r.feishu.cn/share/base/query/shrcnMqxwwRkV3NUIUxPeab3sec</t>
        </is>
      </c>
      <c r="F1440" t="inlineStr">
        <is>
          <t>请添加微信：k846211</t>
        </is>
      </c>
      <c r="G1440" t="inlineStr">
        <is>
          <t>2026-02-15</t>
        </is>
      </c>
    </row>
    <row r="1441" ht="25.5" customHeight="1">
      <c r="A1441" t="inlineStr">
        <is>
          <t>2026年跨年演讲资料合集</t>
        </is>
      </c>
      <c r="B1441" s="2" t="str">
        <f>=HYPERLINK("https://pan.quark.cn/s/b31adb41dac2", "https://pan.quark.cn/s/b31adb41dac2")</f>
        <v>https://pan.quark.cn/s/b31adb41dac2</v>
      </c>
      <c r="C1441" t="inlineStr">
        <is>
          <t>8.5GB</t>
        </is>
      </c>
      <c r="D1441" t="inlineStr">
        <is>
          <t>/跨年演讲/2026年/内容合集/白领/管理者</t>
        </is>
      </c>
      <c r="E1441" t="inlineStr">
        <is>
          <t>https://dcn8qexvg13r.feishu.cn/share/base/query/shrcnMqxwwRkV3NUIUxPeab3sec</t>
        </is>
      </c>
      <c r="F1441" t="inlineStr">
        <is>
          <t>请添加微信：k846211</t>
        </is>
      </c>
      <c r="G1441" t="inlineStr">
        <is>
          <t>2026-02-15</t>
        </is>
      </c>
    </row>
    <row r="1442" ht="25.5" customHeight="1">
      <c r="A1442" t="inlineStr">
        <is>
          <t>51CTO-Go Web开发进阶项目实战（基于gin框架）</t>
        </is>
      </c>
      <c r="B1442" s="2" t="str">
        <f>=HYPERLINK("https://pan.quark.cn/s/0d9ee9c3b5c2", "https://pan.quark.cn/s/0d9ee9c3b5c2")</f>
        <v>https://pan.quark.cn/s/0d9ee9c3b5c2</v>
      </c>
      <c r="C1442" t="inlineStr">
        <is>
          <t>3.9GB</t>
        </is>
      </c>
      <c r="D1442" t="inlineStr">
        <is>
          <t>/Go Web开发/gin框架/项目实战/进阶/编程/特定行业从业者</t>
        </is>
      </c>
      <c r="E1442" t="inlineStr">
        <is>
          <t>https://dcn8qexvg13r.feishu.cn/share/base/query/shrcnMqxwwRkV3NUIUxPeab3sec</t>
        </is>
      </c>
      <c r="F1442" t="inlineStr">
        <is>
          <t>请添加微信：k846211</t>
        </is>
      </c>
      <c r="G1442" t="inlineStr">
        <is>
          <t>2026-02-15</t>
        </is>
      </c>
    </row>
    <row r="1443" ht="25.5" customHeight="1">
      <c r="A1443" t="inlineStr">
        <is>
          <t>【后盾人】系统课程 - Laravel+vue3系统平台</t>
        </is>
      </c>
      <c r="B1443" s="2" t="str">
        <f>=HYPERLINK("https://pan.quark.cn/s/be32bc0c73d2", "https://pan.quark.cn/s/be32bc0c73d2")</f>
        <v>https://pan.quark.cn/s/be32bc0c73d2</v>
      </c>
      <c r="C1443" t="inlineStr">
        <is>
          <t>231.5GB</t>
        </is>
      </c>
      <c r="D1443" t="inlineStr">
        <is>
          <t>/Laravel/vue3/系统课程/编程开发/编程/特定行业从业者</t>
        </is>
      </c>
      <c r="E1443" t="inlineStr">
        <is>
          <t>https://dcn8qexvg13r.feishu.cn/share/base/query/shrcnMqxwwRkV3NUIUxPeab3sec</t>
        </is>
      </c>
      <c r="F1443" t="inlineStr">
        <is>
          <t>请添加微信：k846211</t>
        </is>
      </c>
      <c r="G1443" t="inlineStr">
        <is>
          <t>2026-02-15</t>
        </is>
      </c>
    </row>
    <row r="1444" ht="25.5" customHeight="1">
      <c r="A1444" t="inlineStr">
        <is>
          <t>51CTO-acedar-Manus的核心理念和源码深度剖析_f</t>
        </is>
      </c>
      <c r="B1444" s="2" t="str">
        <f>=HYPERLINK("https://pan.quark.cn/s/c1e52797e94f", "https://pan.quark.cn/s/c1e52797e94f")</f>
        <v>https://pan.quark.cn/s/c1e52797e94f</v>
      </c>
      <c r="C1444" t="inlineStr">
        <is>
          <t>930.5MB</t>
        </is>
      </c>
      <c r="D1444" t="inlineStr">
        <is>
          <t>/Manus/核心理念/源码剖析/编程/特定行业从业者/编程</t>
        </is>
      </c>
      <c r="E1444" t="inlineStr">
        <is>
          <t>https://dcn8qexvg13r.feishu.cn/share/base/query/shrcnMqxwwRkV3NUIUxPeab3sec</t>
        </is>
      </c>
      <c r="F1444" t="inlineStr">
        <is>
          <t>请添加微信：k846211</t>
        </is>
      </c>
      <c r="G1444" t="inlineStr">
        <is>
          <t>2026-02-15</t>
        </is>
      </c>
    </row>
    <row r="1445" ht="25.5" customHeight="1">
      <c r="A1445" t="inlineStr">
        <is>
          <t>小林学长-AI自动化大师课：手把手教你用N8N构建企业级AI Agent工作流</t>
        </is>
      </c>
      <c r="B1445" s="2" t="str">
        <f>=HYPERLINK("https://pan.quark.cn/s/5c363ed37a39", "https://pan.quark.cn/s/5c363ed37a39")</f>
        <v>https://pan.quark.cn/s/5c363ed37a39</v>
      </c>
      <c r="C1445" t="inlineStr">
        <is>
          <t>2.1GB</t>
        </is>
      </c>
      <c r="D1445" t="inlineStr">
        <is>
          <t>/AI自动化/N8N/企业级AI Agent/工作流构建/白领/特定行业从业者</t>
        </is>
      </c>
      <c r="E1445" t="inlineStr">
        <is>
          <t>https://dcn8qexvg13r.feishu.cn/share/base/query/shrcnMqxwwRkV3NUIUxPeab3sec</t>
        </is>
      </c>
      <c r="F1445" t="inlineStr">
        <is>
          <t>请添加微信：k846211</t>
        </is>
      </c>
      <c r="G1445" t="inlineStr">
        <is>
          <t>2026-02-15</t>
        </is>
      </c>
    </row>
    <row r="1446" ht="25.5" customHeight="1">
      <c r="A1446" t="inlineStr">
        <is>
          <t>尚硅谷嵌入式之老人跌报警器项目</t>
        </is>
      </c>
      <c r="B1446" s="2" t="str">
        <f>=HYPERLINK("https://pan.quark.cn/s/f85c506923f0", "https://pan.quark.cn/s/f85c506923f0")</f>
        <v>https://pan.quark.cn/s/f85c506923f0</v>
      </c>
      <c r="C1446" t="inlineStr">
        <is>
          <t>21.1GB</t>
        </is>
      </c>
      <c r="D1446" t="inlineStr">
        <is>
          <t>/嵌入式/老人跌倒报警器/项目实战/特定行业从业者/技能入门</t>
        </is>
      </c>
      <c r="E1446" t="inlineStr">
        <is>
          <t>https://dcn8qexvg13r.feishu.cn/share/base/query/shrcnMqxwwRkV3NUIUxPeab3sec</t>
        </is>
      </c>
      <c r="F1446" t="inlineStr">
        <is>
          <t>请添加微信：k846211</t>
        </is>
      </c>
      <c r="G1446" t="inlineStr">
        <is>
          <t>2026-02-15</t>
        </is>
      </c>
    </row>
    <row r="1447" ht="25.5" customHeight="1">
      <c r="A1447" t="inlineStr">
        <is>
          <t>尚硅谷嵌入式之老人跌报警器项目(1)</t>
        </is>
      </c>
      <c r="B1447" s="2" t="str">
        <f>=HYPERLINK("https://pan.quark.cn/s/e5fa857eea4e", "https://pan.quark.cn/s/e5fa857eea4e")</f>
        <v>https://pan.quark.cn/s/e5fa857eea4e</v>
      </c>
      <c r="C1447" t="inlineStr">
        <is>
          <t>21.1GB</t>
        </is>
      </c>
      <c r="D1447" t="inlineStr">
        <is>
          <t>/嵌入式/老人跌倒报警器/项目开发/特定行业从业者/技能入门</t>
        </is>
      </c>
      <c r="E1447" t="inlineStr">
        <is>
          <t>https://dcn8qexvg13r.feishu.cn/share/base/query/shrcnMqxwwRkV3NUIUxPeab3sec</t>
        </is>
      </c>
      <c r="F1447" t="inlineStr">
        <is>
          <t>请添加微信：k846211</t>
        </is>
      </c>
      <c r="G1447" t="inlineStr">
        <is>
          <t>2026-02-15</t>
        </is>
      </c>
    </row>
    <row r="1448" ht="25.5" customHeight="1">
      <c r="A1448" t="inlineStr">
        <is>
          <t>长亭护网培训</t>
        </is>
      </c>
      <c r="B1448" s="2" t="str">
        <f>=HYPERLINK("https://pan.quark.cn/s/58af76ef4a8d", "https://pan.quark.cn/s/58af76ef4a8d")</f>
        <v>https://pan.quark.cn/s/58af76ef4a8d</v>
      </c>
      <c r="C1448" t="inlineStr">
        <is>
          <t>659.0MB</t>
        </is>
      </c>
      <c r="D1448" t="inlineStr">
        <is>
          <t>/护网/培训/网络安全/技能提升/特定行业从业者</t>
        </is>
      </c>
      <c r="E1448" t="inlineStr">
        <is>
          <t>https://dcn8qexvg13r.feishu.cn/share/base/query/shrcnMqxwwRkV3NUIUxPeab3sec</t>
        </is>
      </c>
      <c r="F1448" t="inlineStr">
        <is>
          <t>请添加微信：k846211</t>
        </is>
      </c>
      <c r="G1448" t="inlineStr">
        <is>
          <t>2026-02-15</t>
        </is>
      </c>
    </row>
    <row r="1449" ht="25.5" customHeight="1">
      <c r="A1449" t="inlineStr">
        <is>
          <t>顶级互联网工程师的计算机思维课(完结)</t>
        </is>
      </c>
      <c r="B1449" s="2" t="str">
        <f>=HYPERLINK("https://pan.quark.cn/s/44e89a426d41", "https://pan.quark.cn/s/44e89a426d41")</f>
        <v>https://pan.quark.cn/s/44e89a426d41</v>
      </c>
      <c r="C1449" t="inlineStr">
        <is>
          <t>2.4GB</t>
        </is>
      </c>
      <c r="D1449" t="inlineStr">
        <is>
          <t>/计算机思维/互联网工程师/课程/编程/大学生/特定行业从业者</t>
        </is>
      </c>
      <c r="E1449" t="inlineStr">
        <is>
          <t>https://dcn8qexvg13r.feishu.cn/share/base/query/shrcnMqxwwRkV3NUIUxPeab3sec</t>
        </is>
      </c>
      <c r="F1449" t="inlineStr">
        <is>
          <t>请添加微信：k846211</t>
        </is>
      </c>
      <c r="G1449" t="inlineStr">
        <is>
          <t>2026-02-15</t>
        </is>
      </c>
    </row>
    <row r="1450" ht="25.5" customHeight="1">
      <c r="A1450" t="inlineStr">
        <is>
          <t>1月19日付费文</t>
        </is>
      </c>
      <c r="B1450" s="2" t="str">
        <f>=HYPERLINK("https://pan.quark.cn/s/2632c15477ef", "https://pan.quark.cn/s/2632c15477ef")</f>
        <v>https://pan.quark.cn/s/2632c15477ef</v>
      </c>
      <c r="C1450" t="inlineStr">
        <is>
          <t>200.8MB</t>
        </is>
      </c>
      <c r="D1450" t="inlineStr">
        <is>
          <t>/付费内容/1月19日/其他</t>
        </is>
      </c>
      <c r="E1450" t="inlineStr">
        <is>
          <t>https://dcn8qexvg13r.feishu.cn/share/base/query/shrcnMqxwwRkV3NUIUxPeab3sec</t>
        </is>
      </c>
      <c r="F1450" t="inlineStr">
        <is>
          <t>请添加微信：k846211</t>
        </is>
      </c>
      <c r="G1450" t="inlineStr">
        <is>
          <t>2026-02-15</t>
        </is>
      </c>
    </row>
    <row r="1451" ht="25.5" customHeight="1">
      <c r="A1451" t="inlineStr">
        <is>
          <t>网络毒理学+113种机器学习+SHAP分析</t>
        </is>
      </c>
      <c r="B1451" s="2" t="str">
        <f>=HYPERLINK("https://pan.quark.cn/s/0d2cb1a92464", "https://pan.quark.cn/s/0d2cb1a92464")</f>
        <v>https://pan.quark.cn/s/0d2cb1a92464</v>
      </c>
      <c r="C1451" t="inlineStr">
        <is>
          <t>2.1GB</t>
        </is>
      </c>
      <c r="D1451" t="inlineStr">
        <is>
          <t>/网络毒理学/机器学习/SHAP分析/生物信息学/特定行业从业者</t>
        </is>
      </c>
      <c r="E1451" t="inlineStr">
        <is>
          <t>https://dcn8qexvg13r.feishu.cn/share/base/query/shrcnMqxwwRkV3NUIUxPeab3sec</t>
        </is>
      </c>
      <c r="F1451" t="inlineStr">
        <is>
          <t>请添加微信：k846211</t>
        </is>
      </c>
      <c r="G1451" t="inlineStr">
        <is>
          <t>2026-02-15</t>
        </is>
      </c>
    </row>
    <row r="1452" ht="25.5" customHeight="1">
      <c r="A1452" t="inlineStr">
        <is>
          <t>200个知乎收费LIVE精品内容（价值上万元）</t>
        </is>
      </c>
      <c r="B1452" s="2" t="str">
        <f>=HYPERLINK("https://pan.quark.cn/s/d87a3a5b8bc1", "https://pan.quark.cn/s/d87a3a5b8bc1")</f>
        <v>https://pan.quark.cn/s/d87a3a5b8bc1</v>
      </c>
      <c r="C1452" t="inlineStr">
        <is>
          <t>419.4MB</t>
        </is>
      </c>
      <c r="D1452" t="inlineStr">
        <is>
          <t>/知乎LIVE/精品内容/知识付费/价值万元/白领/管理者</t>
        </is>
      </c>
      <c r="E1452" t="inlineStr">
        <is>
          <t>https://dcn8qexvg13r.feishu.cn/share/base/query/shrcnMqxwwRkV3NUIUxPeab3sec</t>
        </is>
      </c>
      <c r="F1452" t="inlineStr">
        <is>
          <t>请添加微信：k846211</t>
        </is>
      </c>
      <c r="G1452" t="inlineStr">
        <is>
          <t>2026-02-15</t>
        </is>
      </c>
    </row>
    <row r="1453" ht="25.5" customHeight="1">
      <c r="A1453" t="inlineStr">
        <is>
          <t>【谷粒学苑】区块链以太坊核心技术 - 带源码课件</t>
        </is>
      </c>
      <c r="B1453" s="2" t="str">
        <f>=HYPERLINK("https://pan.quark.cn/s/f64f37b114cb", "https://pan.quark.cn/s/f64f37b114cb")</f>
        <v>https://pan.quark.cn/s/f64f37b114cb</v>
      </c>
      <c r="C1453" t="inlineStr">
        <is>
          <t>20.0GB</t>
        </is>
      </c>
      <c r="D1453" t="inlineStr">
        <is>
          <t>/区块链/以太坊/核心技术/源码课件/特定行业从业者/编程</t>
        </is>
      </c>
      <c r="E1453" t="inlineStr">
        <is>
          <t>https://dcn8qexvg13r.feishu.cn/share/base/query/shrcnMqxwwRkV3NUIUxPeab3sec</t>
        </is>
      </c>
      <c r="F1453" t="inlineStr">
        <is>
          <t>请添加微信：k846211</t>
        </is>
      </c>
      <c r="G1453" t="inlineStr">
        <is>
          <t>2026-02-15</t>
        </is>
      </c>
    </row>
    <row r="1454" ht="25.5" customHeight="1">
      <c r="A1454" t="inlineStr">
        <is>
          <t>【黑马程序员】Go语言与区块链 - 带源码课件</t>
        </is>
      </c>
      <c r="B1454" s="2" t="str">
        <f>=HYPERLINK("https://pan.quark.cn/s/d913f36e9e08", "https://pan.quark.cn/s/d913f36e9e08")</f>
        <v>https://pan.quark.cn/s/d913f36e9e08</v>
      </c>
      <c r="C1454" t="inlineStr">
        <is>
          <t>35.9GB</t>
        </is>
      </c>
      <c r="D1454" t="inlineStr">
        <is>
          <t>/Go语言/区块链/源码/课件/编程/特定行业从业者</t>
        </is>
      </c>
      <c r="E1454" t="inlineStr">
        <is>
          <t>https://dcn8qexvg13r.feishu.cn/share/base/query/shrcnMqxwwRkV3NUIUxPeab3sec</t>
        </is>
      </c>
      <c r="F1454" t="inlineStr">
        <is>
          <t>请添加微信：k846211</t>
        </is>
      </c>
      <c r="G1454" t="inlineStr">
        <is>
          <t>2026-02-15</t>
        </is>
      </c>
    </row>
    <row r="1455" ht="25.5" customHeight="1">
      <c r="A1455" t="inlineStr">
        <is>
          <t>【夏曹俊】C++加密与解密-实战区块链核心密码学-基于openssl</t>
        </is>
      </c>
      <c r="B1455" s="2" t="str">
        <f>=HYPERLINK("https://pan.quark.cn/s/d40cdfd3c414", "https://pan.quark.cn/s/d40cdfd3c414")</f>
        <v>https://pan.quark.cn/s/d40cdfd3c414</v>
      </c>
      <c r="C1455" t="inlineStr">
        <is>
          <t>2.7GB</t>
        </is>
      </c>
      <c r="D1455" t="inlineStr">
        <is>
          <t>/C++/加密解密/区块链/密码学/openssl/编程/特定行业从业者</t>
        </is>
      </c>
      <c r="E1455" t="inlineStr">
        <is>
          <t>https://dcn8qexvg13r.feishu.cn/share/base/query/shrcnMqxwwRkV3NUIUxPeab3sec</t>
        </is>
      </c>
      <c r="F1455" t="inlineStr">
        <is>
          <t>请添加微信：k846211</t>
        </is>
      </c>
      <c r="G1455" t="inlineStr">
        <is>
          <t>2026-02-15</t>
        </is>
      </c>
    </row>
    <row r="1456" ht="25.5" customHeight="1">
      <c r="A1456" t="inlineStr">
        <is>
          <t>AIGC高级实践课：从大模型到AI Agent</t>
        </is>
      </c>
      <c r="B1456" s="2" t="str">
        <f>=HYPERLINK("https://pan.quark.cn/s/017e588f7335", "https://pan.quark.cn/s/017e588f7335")</f>
        <v>https://pan.quark.cn/s/017e588f7335</v>
      </c>
      <c r="C1456" t="inlineStr">
        <is>
          <t>5.0GB</t>
        </is>
      </c>
      <c r="D1456" t="inlineStr">
        <is>
          <t>AIGC/大模型/AI Agent/高级实践/白领/特定行业从业者</t>
        </is>
      </c>
      <c r="E1456" t="inlineStr">
        <is>
          <t>https://dcn8qexvg13r.feishu.cn/share/base/query/shrcnMqxwwRkV3NUIUxPeab3sec</t>
        </is>
      </c>
      <c r="F1456" t="inlineStr">
        <is>
          <t>请添加微信：k846211</t>
        </is>
      </c>
      <c r="G1456" t="inlineStr">
        <is>
          <t>2026-02-15</t>
        </is>
      </c>
    </row>
    <row r="1457" ht="25.5" customHeight="1">
      <c r="A1457" t="inlineStr">
        <is>
          <t>【3D视觉工坊】彻底剖析激光-视觉-IMU-GPS融合SLAM算法：理论推导、代码讲解和实战</t>
        </is>
      </c>
      <c r="B1457" s="2" t="str">
        <f>=HYPERLINK("https://pan.quark.cn/s/a1816f9e318b", "https://pan.quark.cn/s/a1816f9e318b")</f>
        <v>https://pan.quark.cn/s/a1816f9e318b</v>
      </c>
      <c r="C1457" t="inlineStr">
        <is>
          <t>8.4GB</t>
        </is>
      </c>
      <c r="D1457" t="inlineStr">
        <is>
          <t>/SLAM/激光-视觉-IMU-GPS融合/算法推导/代码讲解/特定行业从业者/编程</t>
        </is>
      </c>
      <c r="E1457" t="inlineStr">
        <is>
          <t>https://dcn8qexvg13r.feishu.cn/share/base/query/shrcnMqxwwRkV3NUIUxPeab3sec</t>
        </is>
      </c>
      <c r="F1457" t="inlineStr">
        <is>
          <t>请添加微信：k846211</t>
        </is>
      </c>
      <c r="G1457" t="inlineStr">
        <is>
          <t>2026-02-15</t>
        </is>
      </c>
    </row>
    <row r="1458" ht="25.5" customHeight="1">
      <c r="A1458" t="inlineStr">
        <is>
          <t>1月18日付费文</t>
        </is>
      </c>
      <c r="B1458" s="2" t="str">
        <f>=HYPERLINK("https://pan.quark.cn/s/a31e5a1d6b69", "https://pan.quark.cn/s/a31e5a1d6b69")</f>
        <v>https://pan.quark.cn/s/a31e5a1d6b69</v>
      </c>
      <c r="C1458" t="inlineStr">
        <is>
          <t>103.5MB</t>
        </is>
      </c>
      <c r="D1458" t="inlineStr">
        <is>
          <t>/付费文/1月/考研/考公/考证党/其他</t>
        </is>
      </c>
      <c r="E1458" t="inlineStr">
        <is>
          <t>https://dcn8qexvg13r.feishu.cn/share/base/query/shrcnMqxwwRkV3NUIUxPeab3sec</t>
        </is>
      </c>
      <c r="F1458" t="inlineStr">
        <is>
          <t>请添加微信：k846211</t>
        </is>
      </c>
      <c r="G1458" t="inlineStr">
        <is>
          <t>2026-02-15</t>
        </is>
      </c>
    </row>
    <row r="1459" ht="25.5" customHeight="1">
      <c r="A1459" t="inlineStr">
        <is>
          <t>从0到1手把手教你用嵌入式操作系统</t>
        </is>
      </c>
      <c r="B1459" s="2" t="str">
        <f>=HYPERLINK("https://pan.quark.cn/s/bd25dae18246", "https://pan.quark.cn/s/bd25dae18246")</f>
        <v>https://pan.quark.cn/s/bd25dae18246</v>
      </c>
      <c r="C1459" t="inlineStr">
        <is>
          <t>1.9GB</t>
        </is>
      </c>
      <c r="D1459" t="inlineStr">
        <is>
          <t>/嵌入式操作系统/手把手教学/技能入门/编程/大学生/特定行业从业者</t>
        </is>
      </c>
      <c r="E1459" t="inlineStr">
        <is>
          <t>https://dcn8qexvg13r.feishu.cn/share/base/query/shrcnMqxwwRkV3NUIUxPeab3sec</t>
        </is>
      </c>
      <c r="F1459" t="inlineStr">
        <is>
          <t>请添加微信：k846211</t>
        </is>
      </c>
      <c r="G1459" t="inlineStr">
        <is>
          <t>2026-02-15</t>
        </is>
      </c>
    </row>
    <row r="1460" ht="25.5" customHeight="1">
      <c r="A1460" t="inlineStr">
        <is>
          <t>李述铜从0手写，用10000+行代码实现TCP_IP协议栈</t>
        </is>
      </c>
      <c r="B1460" s="2" t="str">
        <f>=HYPERLINK("https://pan.quark.cn/s/657b2752b61c", "https://pan.quark.cn/s/657b2752b61c")</f>
        <v>https://pan.quark.cn/s/657b2752b61c</v>
      </c>
      <c r="C1460" t="inlineStr">
        <is>
          <t>10.6GB</t>
        </is>
      </c>
      <c r="D1460" t="inlineStr">
        <is>
          <t>/TCP_IP协议栈/手写实现/代码开发/编程学习/大学生/编程</t>
        </is>
      </c>
      <c r="E1460" t="inlineStr">
        <is>
          <t>https://dcn8qexvg13r.feishu.cn/share/base/query/shrcnMqxwwRkV3NUIUxPeab3sec</t>
        </is>
      </c>
      <c r="F1460" t="inlineStr">
        <is>
          <t>请添加微信：k846211</t>
        </is>
      </c>
      <c r="G1460" t="inlineStr">
        <is>
          <t>2026-02-15</t>
        </is>
      </c>
    </row>
    <row r="1461" ht="25.5" customHeight="1">
      <c r="A1461" t="inlineStr">
        <is>
          <t>李述铜 从0手写自己的Linux x86操作系统</t>
        </is>
      </c>
      <c r="B1461" s="2" t="str">
        <f>=HYPERLINK("https://pan.quark.cn/s/fb7e38285150", "https://pan.quark.cn/s/fb7e38285150")</f>
        <v>https://pan.quark.cn/s/fb7e38285150</v>
      </c>
      <c r="C1461" t="inlineStr">
        <is>
          <t>12.3GB</t>
        </is>
      </c>
      <c r="D1461" t="inlineStr">
        <is>
          <t>/Linux操作系统/x86架构/手写实现/编程学习/编程</t>
        </is>
      </c>
      <c r="E1461" t="inlineStr">
        <is>
          <t>https://dcn8qexvg13r.feishu.cn/share/base/query/shrcnMqxwwRkV3NUIUxPeab3sec</t>
        </is>
      </c>
      <c r="F1461" t="inlineStr">
        <is>
          <t>请添加微信：k846211</t>
        </is>
      </c>
      <c r="G1461" t="inlineStr">
        <is>
          <t>2026-02-15</t>
        </is>
      </c>
    </row>
    <row r="1462" ht="25.5" customHeight="1">
      <c r="A1462" t="inlineStr">
        <is>
          <t>2025年尚硅谷阳哥LangChain4J +向量数据库+RAG</t>
        </is>
      </c>
      <c r="B1462" s="2" t="str">
        <f>=HYPERLINK("https://pan.quark.cn/s/861d24e8dfce", "https://pan.quark.cn/s/861d24e8dfce")</f>
        <v>https://pan.quark.cn/s/861d24e8dfce</v>
      </c>
      <c r="C1462" t="inlineStr">
        <is>
          <t>4.3GB</t>
        </is>
      </c>
      <c r="D1462" t="inlineStr">
        <is>
          <t>/LangChain4J/向量数据库/RAG/2025/编程</t>
        </is>
      </c>
      <c r="E1462" t="inlineStr">
        <is>
          <t>https://dcn8qexvg13r.feishu.cn/share/base/query/shrcnMqxwwRkV3NUIUxPeab3sec</t>
        </is>
      </c>
      <c r="F1462" t="inlineStr">
        <is>
          <t>请添加微信：k846211</t>
        </is>
      </c>
      <c r="G1462" t="inlineStr">
        <is>
          <t>2026-02-15</t>
        </is>
      </c>
    </row>
    <row r="1463" ht="25.5" customHeight="1">
      <c r="A1463" t="inlineStr">
        <is>
          <t>大伟聊前端-互联网大厂企业级中台Vue3综合实战提升和前端开发规范</t>
        </is>
      </c>
      <c r="B1463" s="2" t="str">
        <f>=HYPERLINK("https://pan.quark.cn/s/991555f7c8a6", "https://pan.quark.cn/s/991555f7c8a6")</f>
        <v>https://pan.quark.cn/s/991555f7c8a6</v>
      </c>
      <c r="C1463" t="inlineStr">
        <is>
          <t>1.9GB</t>
        </is>
      </c>
      <c r="D1463" t="inlineStr">
        <is>
          <t>/Vue3/前端开发/企业级中台/互联网大厂/编程/白领/特定行业从业者</t>
        </is>
      </c>
      <c r="E1463" t="inlineStr">
        <is>
          <t>https://dcn8qexvg13r.feishu.cn/share/base/query/shrcnMqxwwRkV3NUIUxPeab3sec</t>
        </is>
      </c>
      <c r="F1463" t="inlineStr">
        <is>
          <t>请添加微信：k846211</t>
        </is>
      </c>
      <c r="G1463" t="inlineStr">
        <is>
          <t>2026-02-15</t>
        </is>
      </c>
    </row>
    <row r="1464" ht="25.5" customHeight="1">
      <c r="A1464" t="inlineStr">
        <is>
          <t>2025年黑马Java+AI智能开发V17课程</t>
        </is>
      </c>
      <c r="B1464" s="2" t="str">
        <f>=HYPERLINK("https://pan.quark.cn/s/96aad214205b", "https://pan.quark.cn/s/96aad214205b")</f>
        <v>https://pan.quark.cn/s/96aad214205b</v>
      </c>
      <c r="C1464" t="inlineStr">
        <is>
          <t>513.4GB</t>
        </is>
      </c>
      <c r="D1464" t="inlineStr">
        <is>
          <t>/Java/AI智能开发/编程课程/2025课程/编程/大学生</t>
        </is>
      </c>
      <c r="E1464" t="inlineStr">
        <is>
          <t>https://dcn8qexvg13r.feishu.cn/share/base/query/shrcnMqxwwRkV3NUIUxPeab3sec</t>
        </is>
      </c>
      <c r="F1464" t="inlineStr">
        <is>
          <t>请添加微信：k846211</t>
        </is>
      </c>
      <c r="G1464" t="inlineStr">
        <is>
          <t>2026-02-15</t>
        </is>
      </c>
    </row>
    <row r="1465" ht="25.5" customHeight="1">
      <c r="A1465" t="inlineStr">
        <is>
          <t>拉勾 - 大数据开发高薪训练营 14期- 带源码课件</t>
        </is>
      </c>
      <c r="B1465" s="2" t="str">
        <f>=HYPERLINK("https://pan.quark.cn/s/4825e7ce0c40", "https://pan.quark.cn/s/4825e7ce0c40")</f>
        <v>https://pan.quark.cn/s/4825e7ce0c40</v>
      </c>
      <c r="C1465" t="inlineStr">
        <is>
          <t>380.8GB</t>
        </is>
      </c>
      <c r="D1465" t="inlineStr">
        <is>
          <t>/大数据开发/高薪培训/源码课件/拉勾/特定行业从业者/编程</t>
        </is>
      </c>
      <c r="E1465" t="inlineStr">
        <is>
          <t>https://dcn8qexvg13r.feishu.cn/share/base/query/shrcnMqxwwRkV3NUIUxPeab3sec</t>
        </is>
      </c>
      <c r="F1465" t="inlineStr">
        <is>
          <t>请添加微信：k846211</t>
        </is>
      </c>
      <c r="G1465" t="inlineStr">
        <is>
          <t>2026-02-15</t>
        </is>
      </c>
    </row>
    <row r="1466" ht="25.5" customHeight="1">
      <c r="A1466" t="inlineStr">
        <is>
          <t>黑马Python+大数据14阶段完结无密</t>
        </is>
      </c>
      <c r="B1466" s="2" t="str">
        <f>=HYPERLINK("https://pan.quark.cn/s/68fa8c7f6aa6", "https://pan.quark.cn/s/68fa8c7f6aa6")</f>
        <v>https://pan.quark.cn/s/68fa8c7f6aa6</v>
      </c>
      <c r="C1466" t="inlineStr">
        <is>
          <t>106.6GB</t>
        </is>
      </c>
      <c r="D1466" t="inlineStr">
        <is>
          <t>/Python/大数据/编程/技能入门/大学生/特定行业从业者</t>
        </is>
      </c>
      <c r="E1466" t="inlineStr">
        <is>
          <t>https://dcn8qexvg13r.feishu.cn/share/base/query/shrcnMqxwwRkV3NUIUxPeab3sec</t>
        </is>
      </c>
      <c r="F1466" t="inlineStr">
        <is>
          <t>请添加微信：k846211</t>
        </is>
      </c>
      <c r="G1466" t="inlineStr">
        <is>
          <t>2026-02-15</t>
        </is>
      </c>
    </row>
    <row r="1467" ht="25.5" customHeight="1">
      <c r="A1467" t="inlineStr">
        <is>
          <t>尚硅谷嵌入式精品项目之四轴无人机</t>
        </is>
      </c>
      <c r="B1467" s="2" t="str">
        <f>=HYPERLINK("https://pan.quark.cn/s/4be759a77292", "https://pan.quark.cn/s/4be759a77292")</f>
        <v>https://pan.quark.cn/s/4be759a77292</v>
      </c>
      <c r="C1467" t="inlineStr">
        <is>
          <t>35.4GB</t>
        </is>
      </c>
      <c r="D1467" t="inlineStr">
        <is>
          <t>/嵌入式/四轴无人机/项目开发/大学生/特定行业从业者</t>
        </is>
      </c>
      <c r="E1467" t="inlineStr">
        <is>
          <t>https://dcn8qexvg13r.feishu.cn/share/base/query/shrcnMqxwwRkV3NUIUxPeab3sec</t>
        </is>
      </c>
      <c r="F1467" t="inlineStr">
        <is>
          <t>请添加微信：k846211</t>
        </is>
      </c>
      <c r="G1467" t="inlineStr">
        <is>
          <t>2026-02-15</t>
        </is>
      </c>
    </row>
    <row r="1468" ht="25.5" customHeight="1">
      <c r="A1468" t="inlineStr">
        <is>
          <t>芋道源码知识星球付费内容（含面试、sql、源码解析等）共9.6G</t>
        </is>
      </c>
      <c r="B1468" s="2" t="str">
        <f>=HYPERLINK("https://pan.quark.cn/s/3ddb2d4c1158", "https://pan.quark.cn/s/3ddb2d4c1158")</f>
        <v>https://pan.quark.cn/s/3ddb2d4c1158</v>
      </c>
      <c r="C1468" t="inlineStr">
        <is>
          <t>9.5GB</t>
        </is>
      </c>
      <c r="D1468" t="inlineStr">
        <is>
          <t>/面试/SQL/源码解析/付费内容/大学生/编程</t>
        </is>
      </c>
      <c r="E1468" t="inlineStr">
        <is>
          <t>https://dcn8qexvg13r.feishu.cn/share/base/query/shrcnMqxwwRkV3NUIUxPeab3sec</t>
        </is>
      </c>
      <c r="F1468" t="inlineStr">
        <is>
          <t>请添加微信：k846211</t>
        </is>
      </c>
      <c r="G1468" t="inlineStr">
        <is>
          <t>2026-02-15</t>
        </is>
      </c>
    </row>
    <row r="1469" ht="25.5" customHeight="1">
      <c r="A1469" t="inlineStr">
        <is>
          <t>慕课网-SpringBoot3(1).0 + RocketMq 构建企业级数据中台</t>
        </is>
      </c>
      <c r="B1469" s="2" t="str">
        <f>=HYPERLINK("https://pan.quark.cn/s/b62bf968feca", "https://pan.quark.cn/s/b62bf968feca")</f>
        <v>https://pan.quark.cn/s/b62bf968feca</v>
      </c>
      <c r="C1469" t="inlineStr">
        <is>
          <t>7.0GB</t>
        </is>
      </c>
      <c r="D1469" t="inlineStr">
        <is>
          <t>/SpringBoot3.0/RocketMq/企业级数据中台/慕课/编程/特定行业从业者</t>
        </is>
      </c>
      <c r="E1469" t="inlineStr">
        <is>
          <t>https://dcn8qexvg13r.feishu.cn/share/base/query/shrcnMqxwwRkV3NUIUxPeab3sec</t>
        </is>
      </c>
      <c r="F1469" t="inlineStr">
        <is>
          <t>请添加微信：k846211</t>
        </is>
      </c>
      <c r="G1469" t="inlineStr">
        <is>
          <t>2026-02-15</t>
        </is>
      </c>
    </row>
    <row r="1470" ht="25.5" customHeight="1">
      <c r="A1470" t="inlineStr">
        <is>
          <t>极客事纪 2024 Web安全渗透+Kali渗逶高级工程师课程</t>
        </is>
      </c>
      <c r="B1470" s="2" t="str">
        <f>=HYPERLINK("https://pan.quark.cn/s/c3d80657f9d2", "https://pan.quark.cn/s/c3d80657f9d2")</f>
        <v>https://pan.quark.cn/s/c3d80657f9d2</v>
      </c>
      <c r="C1470" t="inlineStr">
        <is>
          <t>41.6GB</t>
        </is>
      </c>
      <c r="D1470" t="inlineStr">
        <is>
          <t>/Web安全渗透/Kali/高级工程师/课程/特定行业从业者/编程</t>
        </is>
      </c>
      <c r="E1470" t="inlineStr">
        <is>
          <t>https://dcn8qexvg13r.feishu.cn/share/base/query/shrcnMqxwwRkV3NUIUxPeab3sec</t>
        </is>
      </c>
      <c r="F1470" t="inlineStr">
        <is>
          <t>请添加微信：k846211</t>
        </is>
      </c>
      <c r="G1470" t="inlineStr">
        <is>
          <t>2026-02-15</t>
        </is>
      </c>
    </row>
    <row r="1471" ht="25.5" customHeight="1">
      <c r="A1471" t="inlineStr">
        <is>
          <t>27考研</t>
        </is>
      </c>
      <c r="B1471" s="2" t="str">
        <f>=HYPERLINK("https://pan.quark.cn/s/00bde569f9f6", "https://pan.quark.cn/s/00bde569f9f6")</f>
        <v>https://pan.quark.cn/s/00bde569f9f6</v>
      </c>
      <c r="C1471" t="inlineStr">
        <is>
          <t>5.2TB</t>
        </is>
      </c>
      <c r="D1471" t="inlineStr">
        <is>
          <t>/考研/2027考研/备考/升学/考研/考公/考证党/大学生</t>
        </is>
      </c>
      <c r="E1471" t="inlineStr">
        <is>
          <t>https://dcn8qexvg13r.feishu.cn/share/base/query/shrcnMqxwwRkV3NUIUxPeab3sec</t>
        </is>
      </c>
      <c r="F1471" t="inlineStr">
        <is>
          <t>请添加微信：k846211</t>
        </is>
      </c>
      <c r="G1471" t="inlineStr">
        <is>
          <t>2026-02-15</t>
        </is>
      </c>
    </row>
    <row r="1472" ht="25.5" customHeight="1">
      <c r="A1472" t="inlineStr">
        <is>
          <t>45-《古文观止》系列</t>
        </is>
      </c>
      <c r="B1472" s="2" t="str">
        <f>=HYPERLINK("https://pan.quark.cn/s/e608dcf4d567", "https://pan.quark.cn/s/e608dcf4d567")</f>
        <v>https://pan.quark.cn/s/e608dcf4d567</v>
      </c>
      <c r="C1472" t="inlineStr">
        <is>
          <t>39.0GB</t>
        </is>
      </c>
      <c r="D1472" t="inlineStr">
        <is>
          <t>/古文/文学经典/传统文化/阅读学习/大学生/考研党</t>
        </is>
      </c>
      <c r="E1472" t="inlineStr">
        <is>
          <t>https://dcn8qexvg13r.feishu.cn/share/base/query/shrcnMqxwwRkV3NUIUxPeab3sec</t>
        </is>
      </c>
      <c r="F1472" t="inlineStr">
        <is>
          <t>请添加微信：k846211</t>
        </is>
      </c>
      <c r="G1472" t="inlineStr">
        <is>
          <t>2026-02-15</t>
        </is>
      </c>
    </row>
    <row r="1473" ht="25.5" customHeight="1">
      <c r="A1473" t="inlineStr">
        <is>
          <t>某培训售价980的抖音短视频带货创业系列课程，学会做号5步法，心中不慌</t>
        </is>
      </c>
      <c r="B1473" s="2" t="str">
        <f>=HYPERLINK("https://pan.quark.cn/s/957db371fc97", "https://pan.quark.cn/s/957db371fc97")</f>
        <v>https://pan.quark.cn/s/957db371fc97</v>
      </c>
      <c r="C1473" t="inlineStr">
        <is>
          <t>853.8MB</t>
        </is>
      </c>
      <c r="D1473" t="inlineStr">
        <is>
          <t>/抖音短视频/带货/创业/做号5步法/特定行业从业者/技能入门</t>
        </is>
      </c>
      <c r="E1473" t="inlineStr">
        <is>
          <t>https://dcn8qexvg13r.feishu.cn/share/base/query/shrcnMqxwwRkV3NUIUxPeab3sec</t>
        </is>
      </c>
      <c r="F1473" t="inlineStr">
        <is>
          <t>请添加微信：k846211</t>
        </is>
      </c>
      <c r="G1473" t="inlineStr">
        <is>
          <t>2026-02-16</t>
        </is>
      </c>
    </row>
    <row r="1474" ht="25.5" customHeight="1">
      <c r="A1474" t="inlineStr">
        <is>
          <t>创业背后的商业规律与财富逻辑</t>
        </is>
      </c>
      <c r="B1474" s="2" t="str">
        <f>=HYPERLINK("https://pan.quark.cn/s/be0b9d836430", "https://pan.quark.cn/s/be0b9d836430")</f>
        <v>https://pan.quark.cn/s/be0b9d836430</v>
      </c>
      <c r="C1474" t="inlineStr">
        <is>
          <t>4.9GB</t>
        </is>
      </c>
      <c r="D1474" t="inlineStr">
        <is>
          <t>/创业/商业规律/财富逻辑/管理者/白领</t>
        </is>
      </c>
      <c r="E1474" t="inlineStr">
        <is>
          <t>https://dcn8qexvg13r.feishu.cn/share/base/query/shrcnMqxwwRkV3NUIUxPeab3sec</t>
        </is>
      </c>
      <c r="F1474" t="inlineStr">
        <is>
          <t>请添加微信：k846211</t>
        </is>
      </c>
      <c r="G1474" t="inlineStr">
        <is>
          <t>2026-02-16</t>
        </is>
      </c>
    </row>
    <row r="1475" ht="25.5" customHeight="1">
      <c r="A1475" t="inlineStr">
        <is>
          <t>某培训售价980的抖音短视频带货创业系列课程，学会做号5步法，心中不慌</t>
        </is>
      </c>
      <c r="B1475" s="2" t="str">
        <f>=HYPERLINK("https://pan.quark.cn/s/76fd284900d6", "https://pan.quark.cn/s/76fd284900d6")</f>
        <v>https://pan.quark.cn/s/76fd284900d6</v>
      </c>
      <c r="C1475" t="inlineStr">
        <is>
          <t>853.8MB</t>
        </is>
      </c>
      <c r="D1475" t="inlineStr">
        <is>
          <t>/抖音短视频/带货创业/做号5步法/技能入门/特定行业从业者/宝妈/家长群体</t>
        </is>
      </c>
      <c r="E1475" t="inlineStr">
        <is>
          <t>https://dcn8qexvg13r.feishu.cn/share/base/query/shrcnMqxwwRkV3NUIUxPeab3sec</t>
        </is>
      </c>
      <c r="F1475" t="inlineStr">
        <is>
          <t>请添加微信：k846211</t>
        </is>
      </c>
      <c r="G1475" t="inlineStr">
        <is>
          <t>2026-02-16</t>
        </is>
      </c>
    </row>
    <row r="1476" ht="25.5" customHeight="1">
      <c r="A1476" t="inlineStr">
        <is>
          <t>短视频创作运营，让你学会短视频创业的底层逻辑和思维</t>
        </is>
      </c>
      <c r="B1476" s="2" t="str">
        <f>=HYPERLINK("https://pan.quark.cn/s/1d548dc5942c", "https://pan.quark.cn/s/1d548dc5942c")</f>
        <v>https://pan.quark.cn/s/1d548dc5942c</v>
      </c>
      <c r="C1476" t="inlineStr">
        <is>
          <t>1.3GB</t>
        </is>
      </c>
      <c r="D1476" t="inlineStr">
        <is>
          <t>/短视频创作/运营/创业/底层逻辑/思维/特定行业从业者/技能入门</t>
        </is>
      </c>
      <c r="E1476" t="inlineStr">
        <is>
          <t>https://dcn8qexvg13r.feishu.cn/share/base/query/shrcnMqxwwRkV3NUIUxPeab3sec</t>
        </is>
      </c>
      <c r="F1476" t="inlineStr">
        <is>
          <t>请添加微信：k846211</t>
        </is>
      </c>
      <c r="G1476" t="inlineStr">
        <is>
          <t>2026-02-16</t>
        </is>
      </c>
    </row>
    <row r="1477" ht="25.5" customHeight="1">
      <c r="A1477" t="inlineStr">
        <is>
          <t>知识IP创业实操课，从0到1快速孵化让你的个人品牌价值百万</t>
        </is>
      </c>
      <c r="B1477" s="2" t="str">
        <f>=HYPERLINK("https://pan.quark.cn/s/82ce330bbd1b", "https://pan.quark.cn/s/82ce330bbd1b")</f>
        <v>https://pan.quark.cn/s/82ce330bbd1b</v>
      </c>
      <c r="C1477" t="inlineStr">
        <is>
          <t>3.4GB</t>
        </is>
      </c>
      <c r="D1477" t="inlineStr">
        <is>
          <t>/知识IP/创业/个人品牌/实操课/白领/管理者</t>
        </is>
      </c>
      <c r="E1477" t="inlineStr">
        <is>
          <t>https://dcn8qexvg13r.feishu.cn/share/base/query/shrcnMqxwwRkV3NUIUxPeab3sec</t>
        </is>
      </c>
      <c r="F1477" t="inlineStr">
        <is>
          <t>请添加微信：k846211</t>
        </is>
      </c>
      <c r="G1477" t="inlineStr">
        <is>
          <t>2026-02-16</t>
        </is>
      </c>
    </row>
    <row r="1478" ht="25.5" customHeight="1">
      <c r="A1478" t="inlineStr">
        <is>
          <t>小白创业指南老板商业必修课</t>
        </is>
      </c>
      <c r="B1478" s="2" t="str">
        <f>=HYPERLINK("https://pan.quark.cn/s/acd1fa2308bd", "https://pan.quark.cn/s/acd1fa2308bd")</f>
        <v>https://pan.quark.cn/s/acd1fa2308bd</v>
      </c>
      <c r="C1478" t="inlineStr">
        <is>
          <t>2.9GB</t>
        </is>
      </c>
      <c r="D1478" t="inlineStr">
        <is>
          <t>/创业/商业/老板/必修课/管理者/技能入门</t>
        </is>
      </c>
      <c r="E1478" t="inlineStr">
        <is>
          <t>https://dcn8qexvg13r.feishu.cn/share/base/query/shrcnMqxwwRkV3NUIUxPeab3sec</t>
        </is>
      </c>
      <c r="F1478" t="inlineStr">
        <is>
          <t>请添加微信：k846211</t>
        </is>
      </c>
      <c r="G1478" t="inlineStr">
        <is>
          <t>2026-02-16</t>
        </is>
      </c>
    </row>
    <row r="1479" ht="25.5" customHeight="1">
      <c r="A1479" t="inlineStr">
        <is>
          <t>视频号直播运营，视频号0到1运营实操，让你快速掌握(视频号)核心运营技能</t>
        </is>
      </c>
      <c r="B1479" s="2" t="str">
        <f>=HYPERLINK("https://pan.quark.cn/s/0868a61ed804", "https://pan.quark.cn/s/0868a61ed804")</f>
        <v>https://pan.quark.cn/s/0868a61ed804</v>
      </c>
      <c r="C1479" t="inlineStr">
        <is>
          <t>595.5MB</t>
        </is>
      </c>
      <c r="D1479" t="inlineStr">
        <is>
          <t>/视频号直播运营/0到1实操/核心运营技能/视频号运营/特定行业从业者/技能入门</t>
        </is>
      </c>
      <c r="E1479" t="inlineStr">
        <is>
          <t>https://dcn8qexvg13r.feishu.cn/share/base/query/shrcnMqxwwRkV3NUIUxPeab3sec</t>
        </is>
      </c>
      <c r="F1479" t="inlineStr">
        <is>
          <t>请添加微信：k846211</t>
        </is>
      </c>
      <c r="G1479" t="inlineStr">
        <is>
          <t>2026-02-16</t>
        </is>
      </c>
    </row>
    <row r="1480" ht="25.5" customHeight="1">
      <c r="A1480" t="inlineStr">
        <is>
          <t>短视频+直播带货实操课，基础、运营、技能综合实操课（90节）</t>
        </is>
      </c>
      <c r="B1480" s="2" t="str">
        <f>=HYPERLINK("https://pan.quark.cn/s/bf57d03f8e9c", "https://pan.quark.cn/s/bf57d03f8e9c")</f>
        <v>https://pan.quark.cn/s/bf57d03f8e9c</v>
      </c>
      <c r="C1480" t="inlineStr">
        <is>
          <t>3.2GB</t>
        </is>
      </c>
      <c r="D1480" t="inlineStr">
        <is>
          <t>/短视频/直播带货/运营/技能实操/特定行业从业者/技能入门</t>
        </is>
      </c>
      <c r="E1480" t="inlineStr">
        <is>
          <t>https://dcn8qexvg13r.feishu.cn/share/base/query/shrcnMqxwwRkV3NUIUxPeab3sec</t>
        </is>
      </c>
      <c r="F1480" t="inlineStr">
        <is>
          <t>请添加微信：k846211</t>
        </is>
      </c>
      <c r="G1480" t="inlineStr">
        <is>
          <t>2026-02-16</t>
        </is>
      </c>
    </row>
    <row r="1481" ht="25.5" customHeight="1">
      <c r="A1481" t="inlineStr">
        <is>
          <t>营销实践课：帮助提升营销技能【完结】【音频+文档】</t>
        </is>
      </c>
      <c r="B1481" s="2" t="str">
        <f>=HYPERLINK("https://pan.quark.cn/s/e2a8669b2593", "https://pan.quark.cn/s/e2a8669b2593")</f>
        <v>https://pan.quark.cn/s/e2a8669b2593</v>
      </c>
      <c r="C1481" t="inlineStr">
        <is>
          <t>185.1MB</t>
        </is>
      </c>
      <c r="D1481" t="inlineStr">
        <is>
          <t>/营销实践/营销技能/音频/文档/白领/特定行业从业者</t>
        </is>
      </c>
      <c r="E1481" t="inlineStr">
        <is>
          <t>https://dcn8qexvg13r.feishu.cn/share/base/query/shrcnMqxwwRkV3NUIUxPeab3sec</t>
        </is>
      </c>
      <c r="F1481" t="inlineStr">
        <is>
          <t>请添加微信：k846211</t>
        </is>
      </c>
      <c r="G1481" t="inlineStr">
        <is>
          <t>2026-02-16</t>
        </is>
      </c>
    </row>
    <row r="1482" ht="25.5" customHeight="1">
      <c r="A1482" t="inlineStr">
        <is>
          <t>8个网络创业zhuan钱项目【视频教程】</t>
        </is>
      </c>
      <c r="B1482" s="2" t="str">
        <f>=HYPERLINK("https://pan.quark.cn/s/072b23f6c04a", "https://pan.quark.cn/s/072b23f6c04a")</f>
        <v>https://pan.quark.cn/s/072b23f6c04a</v>
      </c>
      <c r="C1482" t="inlineStr">
        <is>
          <t>19.6GB</t>
        </is>
      </c>
      <c r="D1482" t="inlineStr">
        <is>
          <t>/网络创业/赚钱项目/视频教程/大学生/白领</t>
        </is>
      </c>
      <c r="E1482" t="inlineStr">
        <is>
          <t>https://dcn8qexvg13r.feishu.cn/share/base/query/shrcnMqxwwRkV3NUIUxPeab3sec</t>
        </is>
      </c>
      <c r="F1482" t="inlineStr">
        <is>
          <t>请添加微信：k846211</t>
        </is>
      </c>
      <c r="G1482" t="inlineStr">
        <is>
          <t>2026-02-16</t>
        </is>
      </c>
    </row>
    <row r="1483" ht="25.5" customHeight="1">
      <c r="A1483" t="inlineStr">
        <is>
          <t>顶级CEO-课程1：【学两招】领导者必备技能：马云钦点的管理奇才(27节视频)</t>
        </is>
      </c>
      <c r="B1483" s="2" t="str">
        <f>=HYPERLINK("https://pan.quark.cn/s/ba4055692658", "https://pan.quark.cn/s/ba4055692658")</f>
        <v>https://pan.quark.cn/s/ba4055692658</v>
      </c>
      <c r="C1483" t="inlineStr">
        <is>
          <t>1.2GB</t>
        </is>
      </c>
      <c r="D1483" t="inlineStr">
        <is>
          <t>/领导者技能/管理/CEO/视频课程/管理者/白领</t>
        </is>
      </c>
      <c r="E1483" t="inlineStr">
        <is>
          <t>https://dcn8qexvg13r.feishu.cn/share/base/query/shrcnMqxwwRkV3NUIUxPeab3sec</t>
        </is>
      </c>
      <c r="F1483" t="inlineStr">
        <is>
          <t>请添加微信：k846211</t>
        </is>
      </c>
      <c r="G1483" t="inlineStr">
        <is>
          <t>2026-02-16</t>
        </is>
      </c>
    </row>
    <row r="1484" ht="25.5" customHeight="1">
      <c r="A1484" t="inlineStr">
        <is>
          <t>顶级CEO-课程2：【学两招】商业实战40讲：25年独家商业智慧大揭秘(40节音频)</t>
        </is>
      </c>
      <c r="B1484" s="2" t="str">
        <f>=HYPERLINK("https://pan.quark.cn/s/7c5153a6b347", "https://pan.quark.cn/s/7c5153a6b347")</f>
        <v>https://pan.quark.cn/s/7c5153a6b347</v>
      </c>
      <c r="C1484" t="inlineStr">
        <is>
          <t>783.0MB</t>
        </is>
      </c>
      <c r="D1484" t="inlineStr">
        <is>
          <t>/商业实战/CEO课程/独家商业智慧/音频/管理者/特定行业从业者</t>
        </is>
      </c>
      <c r="E1484" t="inlineStr">
        <is>
          <t>https://dcn8qexvg13r.feishu.cn/share/base/query/shrcnMqxwwRkV3NUIUxPeab3sec</t>
        </is>
      </c>
      <c r="F1484" t="inlineStr">
        <is>
          <t>请添加微信：k846211</t>
        </is>
      </c>
      <c r="G1484" t="inlineStr">
        <is>
          <t>2026-02-16</t>
        </is>
      </c>
    </row>
    <row r="1485" ht="25.5" customHeight="1">
      <c r="A1485" t="inlineStr">
        <is>
          <t>顶级CEO-课程3：【学两招】创业公司“找钱”之道（6节视频）</t>
        </is>
      </c>
      <c r="B1485" s="2" t="str">
        <f>=HYPERLINK("https://pan.quark.cn/s/10887ec39621", "https://pan.quark.cn/s/10887ec39621")</f>
        <v>https://pan.quark.cn/s/10887ec39621</v>
      </c>
      <c r="C1485" t="inlineStr">
        <is>
          <t>251.5MB</t>
        </is>
      </c>
      <c r="D1485" t="inlineStr">
        <is>
          <t>/创业公司/融资/CEO/视频课程/管理者/特定行业从业者</t>
        </is>
      </c>
      <c r="E1485" t="inlineStr">
        <is>
          <t>https://dcn8qexvg13r.feishu.cn/share/base/query/shrcnMqxwwRkV3NUIUxPeab3sec</t>
        </is>
      </c>
      <c r="F1485" t="inlineStr">
        <is>
          <t>请添加微信：k846211</t>
        </is>
      </c>
      <c r="G1485" t="inlineStr">
        <is>
          <t>2026-02-16</t>
        </is>
      </c>
    </row>
    <row r="1486" ht="25.5" customHeight="1">
      <c r="A1486" t="inlineStr">
        <is>
          <t>顶级CEO-课程4：【初橙资本】百亿CEO密谈录：与卫哲面对面做企业诊疗(76节音频)</t>
        </is>
      </c>
      <c r="B1486" s="2" t="str">
        <f>=HYPERLINK("https://pan.quark.cn/s/42d64322c586", "https://pan.quark.cn/s/42d64322c586")</f>
        <v>https://pan.quark.cn/s/42d64322c586</v>
      </c>
      <c r="C1486" t="inlineStr">
        <is>
          <t>547.0MB</t>
        </is>
      </c>
      <c r="D1486" t="inlineStr">
        <is>
          <t>/CEO/企业管理/卫哲/初橙资本/管理者/特定行业从业者</t>
        </is>
      </c>
      <c r="E1486" t="inlineStr">
        <is>
          <t>https://dcn8qexvg13r.feishu.cn/share/base/query/shrcnMqxwwRkV3NUIUxPeab3sec</t>
        </is>
      </c>
      <c r="F1486" t="inlineStr">
        <is>
          <t>请添加微信：k846211</t>
        </is>
      </c>
      <c r="G1486" t="inlineStr">
        <is>
          <t>2026-02-16</t>
        </is>
      </c>
    </row>
    <row r="1487" ht="25.5" customHeight="1">
      <c r="A1487" t="inlineStr">
        <is>
          <t>电商金牌客服能力提升课(视频)</t>
        </is>
      </c>
      <c r="B1487" s="2" t="str">
        <f>=HYPERLINK("https://pan.quark.cn/s/2402bc1b6933", "https://pan.quark.cn/s/2402bc1b6933")</f>
        <v>https://pan.quark.cn/s/2402bc1b6933</v>
      </c>
      <c r="C1487" t="inlineStr">
        <is>
          <t>1.2GB</t>
        </is>
      </c>
      <c r="D1487" t="inlineStr">
        <is>
          <t>/电商/客服/能力提升/视频/特定行业从业者/白领</t>
        </is>
      </c>
      <c r="E1487" t="inlineStr">
        <is>
          <t>https://dcn8qexvg13r.feishu.cn/share/base/query/shrcnMqxwwRkV3NUIUxPeab3sec</t>
        </is>
      </c>
      <c r="F1487" t="inlineStr">
        <is>
          <t>请添加微信：k846211</t>
        </is>
      </c>
      <c r="G1487" t="inlineStr">
        <is>
          <t>2026-02-16</t>
        </is>
      </c>
    </row>
    <row r="1488" ht="25.5" customHeight="1">
      <c r="A1488" t="inlineStr">
        <is>
          <t>抖音千川优化实操班-让付费投产持续盈利的必备技能</t>
        </is>
      </c>
      <c r="B1488" s="2" t="str">
        <f>=HYPERLINK("https://pan.quark.cn/s/39c01fa59926", "https://pan.quark.cn/s/39c01fa59926")</f>
        <v>https://pan.quark.cn/s/39c01fa59926</v>
      </c>
      <c r="C1488" t="inlineStr">
        <is>
          <t>203.9MB</t>
        </is>
      </c>
      <c r="D1488" t="inlineStr">
        <is>
          <t>/抖音千川/优化实操/付费投产/盈利技能/特定行业从业者/</t>
        </is>
      </c>
      <c r="E1488" t="inlineStr">
        <is>
          <t>https://dcn8qexvg13r.feishu.cn/share/base/query/shrcnMqxwwRkV3NUIUxPeab3sec</t>
        </is>
      </c>
      <c r="F1488" t="inlineStr">
        <is>
          <t>请添加微信：k846211</t>
        </is>
      </c>
      <c r="G1488" t="inlineStr">
        <is>
          <t>2026-02-16</t>
        </is>
      </c>
    </row>
    <row r="1489" ht="25.5" customHeight="1">
      <c r="A1489" t="inlineStr">
        <is>
          <t>小红书幼儿动画英语启蒙项目(引流+变现)</t>
        </is>
      </c>
      <c r="B1489" s="2" t="str">
        <f>=HYPERLINK("https://pan.quark.cn/s/4878fcfb3dd5", "https://pan.quark.cn/s/4878fcfb3dd5")</f>
        <v>https://pan.quark.cn/s/4878fcfb3dd5</v>
      </c>
      <c r="C1489" t="inlineStr">
        <is>
          <t>125.2MB</t>
        </is>
      </c>
      <c r="D1489" t="inlineStr">
        <is>
          <t>/幼儿英语启蒙/动画教学/引流变现/小红书/宝妈/家长群体</t>
        </is>
      </c>
      <c r="E1489" t="inlineStr">
        <is>
          <t>https://dcn8qexvg13r.feishu.cn/share/base/query/shrcnMqxwwRkV3NUIUxPeab3sec</t>
        </is>
      </c>
      <c r="F1489" t="inlineStr">
        <is>
          <t>请添加微信：k846211</t>
        </is>
      </c>
      <c r="G1489" t="inlineStr">
        <is>
          <t>2026-02-16</t>
        </is>
      </c>
    </row>
    <row r="1490" ht="25.5" customHeight="1">
      <c r="A1490" t="inlineStr">
        <is>
          <t xml:space="preserve"> 手把手教你做AI自制表情包(引流+变现)</t>
        </is>
      </c>
      <c r="B1490" s="2" t="str">
        <f>=HYPERLINK("https://pan.quark.cn/s/5ed9f40b498e", "https://pan.quark.cn/s/5ed9f40b498e")</f>
        <v>https://pan.quark.cn/s/5ed9f40b498e</v>
      </c>
      <c r="C1490" t="inlineStr">
        <is>
          <t>113.3MB</t>
        </is>
      </c>
      <c r="D1490" t="inlineStr">
        <is>
          <t>/AI表情包/引流/变现/技能入门/白领/特定行业从业者</t>
        </is>
      </c>
      <c r="E1490" t="inlineStr">
        <is>
          <t>https://dcn8qexvg13r.feishu.cn/share/base/query/shrcnMqxwwRkV3NUIUxPeab3sec</t>
        </is>
      </c>
      <c r="F1490" t="inlineStr">
        <is>
          <t>请添加微信：k846211</t>
        </is>
      </c>
      <c r="G1490" t="inlineStr">
        <is>
          <t>2026-02-16</t>
        </is>
      </c>
    </row>
    <row r="1491" ht="25.5" customHeight="1">
      <c r="A1491" t="inlineStr">
        <is>
          <t>用deepseek写文章-获取公众号流量主收益</t>
        </is>
      </c>
      <c r="B1491" s="2" t="str">
        <f>=HYPERLINK("https://pan.quark.cn/s/be76464faa3e", "https://pan.quark.cn/s/be76464faa3e")</f>
        <v>https://pan.quark.cn/s/be76464faa3e</v>
      </c>
      <c r="C1491" t="inlineStr">
        <is>
          <t>549.2MB</t>
        </is>
      </c>
      <c r="D1491" t="inlineStr">
        <is>
          <t>/公众号运营/流量主收益/Deepseek/文章创作/白领/特定行业从业者</t>
        </is>
      </c>
      <c r="E1491" t="inlineStr">
        <is>
          <t>https://dcn8qexvg13r.feishu.cn/share/base/query/shrcnMqxwwRkV3NUIUxPeab3sec</t>
        </is>
      </c>
      <c r="F1491" t="inlineStr">
        <is>
          <t>请添加微信：k846211</t>
        </is>
      </c>
      <c r="G1491" t="inlineStr">
        <is>
          <t>2026-02-16</t>
        </is>
      </c>
    </row>
    <row r="1492" ht="25.5" customHeight="1">
      <c r="A1492" t="inlineStr">
        <is>
          <t>知识付费创业项目：如何打造自己的第1套网课(视频)</t>
        </is>
      </c>
      <c r="B1492" s="2" t="str">
        <f>=HYPERLINK("https://pan.quark.cn/s/b6368dbe9a10", "https://pan.quark.cn/s/b6368dbe9a10")</f>
        <v>https://pan.quark.cn/s/b6368dbe9a10</v>
      </c>
      <c r="C1492" t="inlineStr">
        <is>
          <t>421.8MB</t>
        </is>
      </c>
      <c r="D1492" t="inlineStr">
        <is>
          <t>/知识付费/网课制作/创业项目/视频教程/白领/特定行业从业者</t>
        </is>
      </c>
      <c r="E1492" t="inlineStr">
        <is>
          <t>https://dcn8qexvg13r.feishu.cn/share/base/query/shrcnMqxwwRkV3NUIUxPeab3sec</t>
        </is>
      </c>
      <c r="F1492" t="inlineStr">
        <is>
          <t>请添加微信：k846211</t>
        </is>
      </c>
      <c r="G1492" t="inlineStr">
        <is>
          <t>2026-02-16</t>
        </is>
      </c>
    </row>
    <row r="1493" ht="25.5" customHeight="1">
      <c r="A1493" t="inlineStr">
        <is>
          <t>【揭秘】宠物写真项目(操作简单好上手)</t>
        </is>
      </c>
      <c r="B1493" s="2" t="str">
        <f>=HYPERLINK("https://pan.quark.cn/s/79852ef92a2c", "https://pan.quark.cn/s/79852ef92a2c")</f>
        <v>https://pan.quark.cn/s/79852ef92a2c</v>
      </c>
      <c r="C1493" t="inlineStr">
        <is>
          <t>93.6MB</t>
        </is>
      </c>
      <c r="D1493" t="inlineStr">
        <is>
          <t>/宠物写真/项目揭秘/操作简单/技能入门/特定行业从业者/技能入门</t>
        </is>
      </c>
      <c r="E1493" t="inlineStr">
        <is>
          <t>https://dcn8qexvg13r.feishu.cn/share/base/query/shrcnMqxwwRkV3NUIUxPeab3sec</t>
        </is>
      </c>
      <c r="F1493" t="inlineStr">
        <is>
          <t>请添加微信：k846211</t>
        </is>
      </c>
      <c r="G1493" t="inlineStr">
        <is>
          <t>2026-02-16</t>
        </is>
      </c>
    </row>
    <row r="1494" ht="25.5" customHeight="1">
      <c r="A1494" t="inlineStr">
        <is>
          <t>宠物短视频赛道商业变现时代</t>
        </is>
      </c>
      <c r="B1494" s="2" t="str">
        <f>=HYPERLINK("https://pan.quark.cn/s/6bdeff2d8ac3", "https://pan.quark.cn/s/6bdeff2d8ac3")</f>
        <v>https://pan.quark.cn/s/6bdeff2d8ac3</v>
      </c>
      <c r="C1494" t="inlineStr">
        <is>
          <t>1.9GB</t>
        </is>
      </c>
      <c r="D1494" t="inlineStr">
        <is>
          <t>/宠物短视频/商业变现/短视频赛道/内容创作/特定行业从业者/白领</t>
        </is>
      </c>
      <c r="E1494" t="inlineStr">
        <is>
          <t>https://dcn8qexvg13r.feishu.cn/share/base/query/shrcnMqxwwRkV3NUIUxPeab3sec</t>
        </is>
      </c>
      <c r="F1494" t="inlineStr">
        <is>
          <t>请添加微信：k846211</t>
        </is>
      </c>
      <c r="G1494" t="inlineStr">
        <is>
          <t>2026-02-16</t>
        </is>
      </c>
    </row>
    <row r="1495" ht="25.5" customHeight="1">
      <c r="A1495" t="inlineStr">
        <is>
          <t>宠物打工视频制作及变现实操</t>
        </is>
      </c>
      <c r="B1495" s="2" t="str">
        <f>=HYPERLINK("https://pan.quark.cn/s/95e1d0f38663", "https://pan.quark.cn/s/95e1d0f38663")</f>
        <v>https://pan.quark.cn/s/95e1d0f38663</v>
      </c>
      <c r="C1495" t="inlineStr">
        <is>
          <t>318.6MB</t>
        </is>
      </c>
      <c r="D1495" t="inlineStr">
        <is>
          <t>/宠物视频/视频制作/变现技巧/实操教程/白领/宝妈/家长群体</t>
        </is>
      </c>
      <c r="E1495" t="inlineStr">
        <is>
          <t>https://dcn8qexvg13r.feishu.cn/share/base/query/shrcnMqxwwRkV3NUIUxPeab3sec</t>
        </is>
      </c>
      <c r="F1495" t="inlineStr">
        <is>
          <t>请添加微信：k846211</t>
        </is>
      </c>
      <c r="G1495" t="inlineStr">
        <is>
          <t>2026-02-16</t>
        </is>
      </c>
    </row>
    <row r="1496" ht="25.5" customHeight="1">
      <c r="A1496" t="inlineStr">
        <is>
          <t>小餐饮小吃行业创业培训课程</t>
        </is>
      </c>
      <c r="B1496" s="2" t="str">
        <f>=HYPERLINK("https://pan.quark.cn/s/71687b11aca4", "https://pan.quark.cn/s/71687b11aca4")</f>
        <v>https://pan.quark.cn/s/71687b11aca4</v>
      </c>
      <c r="C1496" t="inlineStr">
        <is>
          <t>4.5GB</t>
        </is>
      </c>
      <c r="D1496" t="inlineStr">
        <is>
          <t>/小餐饮/小吃行业/创业培训/课程/特定行业从业者/技能入门</t>
        </is>
      </c>
      <c r="E1496" t="inlineStr">
        <is>
          <t>https://dcn8qexvg13r.feishu.cn/share/base/query/shrcnMqxwwRkV3NUIUxPeab3sec</t>
        </is>
      </c>
      <c r="F1496" t="inlineStr">
        <is>
          <t>请添加微信：k846211</t>
        </is>
      </c>
      <c r="G1496" t="inlineStr">
        <is>
          <t>2026-02-16</t>
        </is>
      </c>
    </row>
    <row r="1497" ht="25.5" customHeight="1">
      <c r="A1497" t="inlineStr">
        <is>
          <t>幸福心理学</t>
        </is>
      </c>
      <c r="B1497" s="2" t="str">
        <f>=HYPERLINK("https://pan.quark.cn/s/5296f004dbdb", "https://pan.quark.cn/s/5296f004dbdb")</f>
        <v>https://pan.quark.cn/s/5296f004dbdb</v>
      </c>
      <c r="C1497" t="inlineStr">
        <is>
          <t>202.3MB</t>
        </is>
      </c>
      <c r="D1497" t="inlineStr">
        <is>
          <t>/幸福心理学/心理学/心理健康/自我提升/大学生/白领</t>
        </is>
      </c>
      <c r="E1497" t="inlineStr">
        <is>
          <t>https://dcn8qexvg13r.feishu.cn/share/base/query/shrcnMqxwwRkV3NUIUxPeab3sec</t>
        </is>
      </c>
      <c r="F1497" t="inlineStr">
        <is>
          <t>请添加微信：k846211</t>
        </is>
      </c>
      <c r="G1497" t="inlineStr">
        <is>
          <t>2026-02-16</t>
        </is>
      </c>
    </row>
    <row r="1498" ht="25.5" customHeight="1">
      <c r="A1498" t="inlineStr">
        <is>
          <t>摆脱内耗的12个行动指南</t>
        </is>
      </c>
      <c r="B1498" s="2" t="str">
        <f>=HYPERLINK("https://pan.quark.cn/s/cb6be1ba46de", "https://pan.quark.cn/s/cb6be1ba46de")</f>
        <v>https://pan.quark.cn/s/cb6be1ba46de</v>
      </c>
      <c r="C1498" t="inlineStr">
        <is>
          <t>3.4GB</t>
        </is>
      </c>
      <c r="D1498" t="inlineStr">
        <is>
          <t>/内耗/行动指南/自我提升/心理健康/白领/大学生</t>
        </is>
      </c>
      <c r="E1498" t="inlineStr">
        <is>
          <t>https://dcn8qexvg13r.feishu.cn/share/base/query/shrcnMqxwwRkV3NUIUxPeab3sec</t>
        </is>
      </c>
      <c r="F1498" t="inlineStr">
        <is>
          <t>请添加微信：k846211</t>
        </is>
      </c>
      <c r="G1498" t="inlineStr">
        <is>
          <t>2026-02-16</t>
        </is>
      </c>
    </row>
    <row r="1499" ht="25.5" customHeight="1">
      <c r="A1499" t="inlineStr">
        <is>
          <t>高情商秘籍-轻松应对复杂的人际关系</t>
        </is>
      </c>
      <c r="B1499" s="2" t="str">
        <f>=HYPERLINK("https://pan.quark.cn/s/381afc283c8e", "https://pan.quark.cn/s/381afc283c8e")</f>
        <v>https://pan.quark.cn/s/381afc283c8e</v>
      </c>
      <c r="C1499" t="inlineStr">
        <is>
          <t>219.0MB</t>
        </is>
      </c>
      <c r="D1499" t="inlineStr">
        <is>
          <t>/高情商/人际关系/秘籍/白领/管理者</t>
        </is>
      </c>
      <c r="E1499" t="inlineStr">
        <is>
          <t>https://dcn8qexvg13r.feishu.cn/share/base/query/shrcnMqxwwRkV3NUIUxPeab3sec</t>
        </is>
      </c>
      <c r="F1499" t="inlineStr">
        <is>
          <t>请添加微信：k846211</t>
        </is>
      </c>
      <c r="G1499" t="inlineStr">
        <is>
          <t>2026-02-16</t>
        </is>
      </c>
    </row>
    <row r="1500" ht="25.5" customHeight="1">
      <c r="A1500" t="inlineStr">
        <is>
          <t>精品心理学课程-恋爱心理学</t>
        </is>
      </c>
      <c r="B1500" s="2" t="str">
        <f>=HYPERLINK("https://pan.quark.cn/s/9d6d9896e8c3", "https://pan.quark.cn/s/9d6d9896e8c3")</f>
        <v>https://pan.quark.cn/s/9d6d9896e8c3</v>
      </c>
      <c r="C1500" t="inlineStr">
        <is>
          <t>1.4GB</t>
        </is>
      </c>
      <c r="D1500" t="inlineStr">
        <is>
          <t>/恋爱心理学/心理学课程/情感认知/大学生/白领</t>
        </is>
      </c>
      <c r="E1500" t="inlineStr">
        <is>
          <t>https://dcn8qexvg13r.feishu.cn/share/base/query/shrcnMqxwwRkV3NUIUxPeab3sec</t>
        </is>
      </c>
      <c r="F1500" t="inlineStr">
        <is>
          <t>请添加微信：k846211</t>
        </is>
      </c>
      <c r="G1500" t="inlineStr">
        <is>
          <t>2026-02-16</t>
        </is>
      </c>
    </row>
    <row r="1501" ht="25.5" customHeight="1">
      <c r="A1501" t="inlineStr">
        <is>
          <t>心理咨询师课程-20讲音频+课件</t>
        </is>
      </c>
      <c r="B1501" s="2" t="str">
        <f>=HYPERLINK("https://pan.quark.cn/s/2cd46a512264", "https://pan.quark.cn/s/2cd46a512264")</f>
        <v>https://pan.quark.cn/s/2cd46a512264</v>
      </c>
      <c r="C1501" t="inlineStr">
        <is>
          <t>295.9MB</t>
        </is>
      </c>
      <c r="D1501" t="inlineStr">
        <is>
          <t>/心理咨询师/课程/音频/课件/考研/考公/考证党/特定行业从业者</t>
        </is>
      </c>
      <c r="E1501" t="inlineStr">
        <is>
          <t>https://dcn8qexvg13r.feishu.cn/share/base/query/shrcnMqxwwRkV3NUIUxPeab3sec</t>
        </is>
      </c>
      <c r="F1501" t="inlineStr">
        <is>
          <t>请添加微信：k846211</t>
        </is>
      </c>
      <c r="G1501" t="inlineStr">
        <is>
          <t>2026-02-16</t>
        </is>
      </c>
    </row>
    <row r="1502" ht="25.5" customHeight="1">
      <c r="A1502" t="inlineStr">
        <is>
          <t>30堂心理课</t>
        </is>
      </c>
      <c r="B1502" s="2" t="str">
        <f>=HYPERLINK("https://pan.quark.cn/s/54af390d6a3b", "https://pan.quark.cn/s/54af390d6a3b")</f>
        <v>https://pan.quark.cn/s/54af390d6a3b</v>
      </c>
      <c r="C1502" t="inlineStr">
        <is>
          <t>664.8MB</t>
        </is>
      </c>
      <c r="D1502" t="inlineStr">
        <is>
          <t>/心理课/课程/心理健康/自我成长/白领/大学生</t>
        </is>
      </c>
      <c r="E1502" t="inlineStr">
        <is>
          <t>https://dcn8qexvg13r.feishu.cn/share/base/query/shrcnMqxwwRkV3NUIUxPeab3sec</t>
        </is>
      </c>
      <c r="F1502" t="inlineStr">
        <is>
          <t>请添加微信：k846211</t>
        </is>
      </c>
      <c r="G1502" t="inlineStr">
        <is>
          <t>2026-02-16</t>
        </is>
      </c>
    </row>
    <row r="1503" ht="25.5" customHeight="1">
      <c r="A1503" t="inlineStr">
        <is>
          <t>走向心智成熟的30个实用心理训练</t>
        </is>
      </c>
      <c r="B1503" s="2" t="str">
        <f>=HYPERLINK("https://pan.quark.cn/s/91260d7ec48a", "https://pan.quark.cn/s/91260d7ec48a")</f>
        <v>https://pan.quark.cn/s/91260d7ec48a</v>
      </c>
      <c r="C1503" t="inlineStr">
        <is>
          <t>3.7GB</t>
        </is>
      </c>
      <c r="D1503" t="inlineStr">
        <is>
          <t>/心智成熟/心理训练/实用方法/白领/管理者</t>
        </is>
      </c>
      <c r="E1503" t="inlineStr">
        <is>
          <t>https://dcn8qexvg13r.feishu.cn/share/base/query/shrcnMqxwwRkV3NUIUxPeab3sec</t>
        </is>
      </c>
      <c r="F1503" t="inlineStr">
        <is>
          <t>请添加微信：k846211</t>
        </is>
      </c>
      <c r="G1503" t="inlineStr">
        <is>
          <t>2026-02-16</t>
        </is>
      </c>
    </row>
    <row r="1504" ht="25.5" customHeight="1">
      <c r="A1504" t="inlineStr">
        <is>
          <t>吸金朋友圈+营销心理学</t>
        </is>
      </c>
      <c r="B1504" s="2" t="str">
        <f>=HYPERLINK("https://pan.quark.cn/s/935694894d07", "https://pan.quark.cn/s/935694894d07")</f>
        <v>https://pan.quark.cn/s/935694894d07</v>
      </c>
      <c r="C1504" t="inlineStr">
        <is>
          <t>3.0GB</t>
        </is>
      </c>
      <c r="D1504" t="inlineStr">
        <is>
          <t>/朋友圈营销/营销心理学/吸金技巧/白领/特定行业从业者</t>
        </is>
      </c>
      <c r="E1504" t="inlineStr">
        <is>
          <t>https://dcn8qexvg13r.feishu.cn/share/base/query/shrcnMqxwwRkV3NUIUxPeab3sec</t>
        </is>
      </c>
      <c r="F1504" t="inlineStr">
        <is>
          <t>请添加微信：k846211</t>
        </is>
      </c>
      <c r="G1504" t="inlineStr">
        <is>
          <t>2026-02-16</t>
        </is>
      </c>
    </row>
    <row r="1505" ht="25.5" customHeight="1">
      <c r="A1505" t="inlineStr">
        <is>
          <t>积极情绪培养课程-玩转压力</t>
        </is>
      </c>
      <c r="B1505" s="2" t="str">
        <f>=HYPERLINK("https://pan.quark.cn/s/a809e4bc331b", "https://pan.quark.cn/s/a809e4bc331b")</f>
        <v>https://pan.quark.cn/s/a809e4bc331b</v>
      </c>
      <c r="C1505" t="inlineStr">
        <is>
          <t>1.4GB</t>
        </is>
      </c>
      <c r="D1505" t="inlineStr">
        <is>
          <t>/积极情绪/压力管理/情绪培养/课程/白领/管理者</t>
        </is>
      </c>
      <c r="E1505" t="inlineStr">
        <is>
          <t>https://dcn8qexvg13r.feishu.cn/share/base/query/shrcnMqxwwRkV3NUIUxPeab3sec</t>
        </is>
      </c>
      <c r="F1505" t="inlineStr">
        <is>
          <t>请添加微信：k846211</t>
        </is>
      </c>
      <c r="G1505" t="inlineStr">
        <is>
          <t>2026-02-16</t>
        </is>
      </c>
    </row>
    <row r="1506" ht="25.5" customHeight="1">
      <c r="A1506" t="inlineStr">
        <is>
          <t>系统式家庭养育训练营-培养自我负责的孩子</t>
        </is>
      </c>
      <c r="B1506" s="2" t="str">
        <f>=HYPERLINK("https://pan.quark.cn/s/0fd797d3906d", "https://pan.quark.cn/s/0fd797d3906d")</f>
        <v>https://pan.quark.cn/s/0fd797d3906d</v>
      </c>
      <c r="C1506" t="inlineStr">
        <is>
          <t>176.7MB</t>
        </is>
      </c>
      <c r="D1506" t="inlineStr">
        <is>
          <t>/家庭养育/自我负责/训练营/宝妈/家长群体/育儿</t>
        </is>
      </c>
      <c r="E1506" t="inlineStr">
        <is>
          <t>https://dcn8qexvg13r.feishu.cn/share/base/query/shrcnMqxwwRkV3NUIUxPeab3sec</t>
        </is>
      </c>
      <c r="F1506" t="inlineStr">
        <is>
          <t>请添加微信：k846211</t>
        </is>
      </c>
      <c r="G1506" t="inlineStr">
        <is>
          <t>2026-02-16</t>
        </is>
      </c>
    </row>
    <row r="1507" ht="25.5" customHeight="1">
      <c r="A1507" t="inlineStr">
        <is>
          <t>实用青少年社交训练课</t>
        </is>
      </c>
      <c r="B1507" s="2" t="str">
        <f>=HYPERLINK("https://pan.quark.cn/s/37d97976862a", "https://pan.quark.cn/s/37d97976862a")</f>
        <v>https://pan.quark.cn/s/37d97976862a</v>
      </c>
      <c r="C1507" t="inlineStr">
        <is>
          <t>309.3MB</t>
        </is>
      </c>
      <c r="D1507" t="inlineStr">
        <is>
          <t>/青少年/社交训练/实用课程/宝妈/家长群体/学龄儿童家长</t>
        </is>
      </c>
      <c r="E1507" t="inlineStr">
        <is>
          <t>https://dcn8qexvg13r.feishu.cn/share/base/query/shrcnMqxwwRkV3NUIUxPeab3sec</t>
        </is>
      </c>
      <c r="F1507" t="inlineStr">
        <is>
          <t>请添加微信：k846211</t>
        </is>
      </c>
      <c r="G1507" t="inlineStr">
        <is>
          <t>2026-02-16</t>
        </is>
      </c>
    </row>
    <row r="1508" ht="25.5" customHeight="1">
      <c r="A1508" t="inlineStr">
        <is>
          <t>360度高情商沟通技巧视频课程</t>
        </is>
      </c>
      <c r="B1508" s="2" t="str">
        <f>=HYPERLINK("https://pan.quark.cn/s/87d80952133b", "https://pan.quark.cn/s/87d80952133b")</f>
        <v>https://pan.quark.cn/s/87d80952133b</v>
      </c>
      <c r="C1508" t="inlineStr">
        <is>
          <t>895.9MB</t>
        </is>
      </c>
      <c r="D1508" t="inlineStr">
        <is>
          <t>/沟通技巧/高情商/视频课程/白领/管理者</t>
        </is>
      </c>
      <c r="E1508" t="inlineStr">
        <is>
          <t>https://dcn8qexvg13r.feishu.cn/share/base/query/shrcnMqxwwRkV3NUIUxPeab3sec</t>
        </is>
      </c>
      <c r="F1508" t="inlineStr">
        <is>
          <t>请添加微信：k846211</t>
        </is>
      </c>
      <c r="G1508" t="inlineStr">
        <is>
          <t>2026-02-16</t>
        </is>
      </c>
    </row>
    <row r="1509" ht="25.5" customHeight="1">
      <c r="A1509" t="inlineStr">
        <is>
          <t>给孩子的心理课</t>
        </is>
      </c>
      <c r="B1509" s="2" t="str">
        <f>=HYPERLINK("https://pan.quark.cn/s/b9bde5d5b786", "https://pan.quark.cn/s/b9bde5d5b786")</f>
        <v>https://pan.quark.cn/s/b9bde5d5b786</v>
      </c>
      <c r="C1509" t="inlineStr">
        <is>
          <t>324.2MB</t>
        </is>
      </c>
      <c r="D1509" t="inlineStr">
        <is>
          <t>/心理课/儿童心理/教育/亲子教育/宝妈/家长群体/学龄儿童家长</t>
        </is>
      </c>
      <c r="E1509" t="inlineStr">
        <is>
          <t>https://dcn8qexvg13r.feishu.cn/share/base/query/shrcnMqxwwRkV3NUIUxPeab3sec</t>
        </is>
      </c>
      <c r="F1509" t="inlineStr">
        <is>
          <t>请添加微信：k846211</t>
        </is>
      </c>
      <c r="G1509" t="inlineStr">
        <is>
          <t>2026-02-16</t>
        </is>
      </c>
    </row>
    <row r="1510" ht="25.5" customHeight="1">
      <c r="A1510" t="inlineStr">
        <is>
          <t>斯坦福极简心理学（少年版）</t>
        </is>
      </c>
      <c r="B1510" s="2" t="str">
        <f>=HYPERLINK("https://pan.quark.cn/s/c713e61ce8b8", "https://pan.quark.cn/s/c713e61ce8b8")</f>
        <v>https://pan.quark.cn/s/c713e61ce8b8</v>
      </c>
      <c r="C1510" t="inlineStr">
        <is>
          <t>215.3MB</t>
        </is>
      </c>
      <c r="D1510" t="inlineStr">
        <is>
          <t>/心理学/少年版/极简入门/K12/学龄儿童家长</t>
        </is>
      </c>
      <c r="E1510" t="inlineStr">
        <is>
          <t>https://dcn8qexvg13r.feishu.cn/share/base/query/shrcnMqxwwRkV3NUIUxPeab3sec</t>
        </is>
      </c>
      <c r="F1510" t="inlineStr">
        <is>
          <t>请添加微信：k846211</t>
        </is>
      </c>
      <c r="G1510" t="inlineStr">
        <is>
          <t>2026-02-16</t>
        </is>
      </c>
    </row>
    <row r="1511" ht="25.5" customHeight="1">
      <c r="A1511" t="inlineStr">
        <is>
          <t>改变人生的46堂心理课(音频课程)</t>
        </is>
      </c>
      <c r="B1511" s="2" t="str">
        <f>=HYPERLINK("https://pan.quark.cn/s/62b95daa22ce", "https://pan.quark.cn/s/62b95daa22ce")</f>
        <v>https://pan.quark.cn/s/62b95daa22ce</v>
      </c>
      <c r="C1511" t="inlineStr">
        <is>
          <t>371.4MB</t>
        </is>
      </c>
      <c r="D1511" t="inlineStr">
        <is>
          <t>/心理课/音频课程/人生改变/白领/考研/考公/考证党</t>
        </is>
      </c>
      <c r="E1511" t="inlineStr">
        <is>
          <t>https://dcn8qexvg13r.feishu.cn/share/base/query/shrcnMqxwwRkV3NUIUxPeab3sec</t>
        </is>
      </c>
      <c r="F1511" t="inlineStr">
        <is>
          <t>请添加微信：k846211</t>
        </is>
      </c>
      <c r="G1511" t="inlineStr">
        <is>
          <t>2026-02-16</t>
        </is>
      </c>
    </row>
    <row r="1512" ht="25.5" customHeight="1">
      <c r="A1512" t="inlineStr">
        <is>
          <t xml:space="preserve">情感操控原理与反操控策略 </t>
        </is>
      </c>
      <c r="B1512" s="2" t="str">
        <f>=HYPERLINK("https://pan.quark.cn/s/874d2f96bd62", "https://pan.quark.cn/s/874d2f96bd62")</f>
        <v>https://pan.quark.cn/s/874d2f96bd62</v>
      </c>
      <c r="C1512" t="inlineStr">
        <is>
          <t>205.9MB</t>
        </is>
      </c>
      <c r="D1512" t="inlineStr">
        <is>
          <t>/情感操控/反操控策略/心理防护/人际关系/白领/管理者</t>
        </is>
      </c>
      <c r="E1512" t="inlineStr">
        <is>
          <t>https://dcn8qexvg13r.feishu.cn/share/base/query/shrcnMqxwwRkV3NUIUxPeab3sec</t>
        </is>
      </c>
      <c r="F1512" t="inlineStr">
        <is>
          <t>请添加微信：k846211</t>
        </is>
      </c>
      <c r="G1512" t="inlineStr">
        <is>
          <t>2026-02-16</t>
        </is>
      </c>
    </row>
    <row r="1513" ht="25.5" customHeight="1">
      <c r="A1513" t="inlineStr">
        <is>
          <t>心理健身房：通过锻炼改善心理健康的要诀</t>
        </is>
      </c>
      <c r="B1513" s="2" t="str">
        <f>=HYPERLINK("https://pan.quark.cn/s/46379a0d6c13", "https://pan.quark.cn/s/46379a0d6c13")</f>
        <v>https://pan.quark.cn/s/46379a0d6c13</v>
      </c>
      <c r="C1513" t="inlineStr">
        <is>
          <t>8.6MB</t>
        </is>
      </c>
      <c r="D1513" t="inlineStr">
        <is>
          <t>/心理健身/心理健康/锻炼方法/自我提升/白领/其他</t>
        </is>
      </c>
      <c r="E1513" t="inlineStr">
        <is>
          <t>https://dcn8qexvg13r.feishu.cn/share/base/query/shrcnMqxwwRkV3NUIUxPeab3sec</t>
        </is>
      </c>
      <c r="F1513" t="inlineStr">
        <is>
          <t>请添加微信：k846211</t>
        </is>
      </c>
      <c r="G1513" t="inlineStr">
        <is>
          <t>2026-02-16</t>
        </is>
      </c>
    </row>
    <row r="1514" ht="25.5" customHeight="1">
      <c r="A1514" t="inlineStr">
        <is>
          <t>用高情商方法建立自己的优势</t>
        </is>
      </c>
      <c r="B1514" s="2" t="str">
        <f>=HYPERLINK("https://pan.quark.cn/s/c952bde13e47", "https://pan.quark.cn/s/c952bde13e47")</f>
        <v>https://pan.quark.cn/s/c952bde13e47</v>
      </c>
      <c r="C1514" t="inlineStr">
        <is>
          <t>4.1GB</t>
        </is>
      </c>
      <c r="D1514" t="inlineStr">
        <is>
          <t>/高情商/优势建立/人际交往/自我提升/白领/管理者</t>
        </is>
      </c>
      <c r="E1514" t="inlineStr">
        <is>
          <t>https://dcn8qexvg13r.feishu.cn/share/base/query/shrcnMqxwwRkV3NUIUxPeab3sec</t>
        </is>
      </c>
      <c r="F1514" t="inlineStr">
        <is>
          <t>请添加微信：k846211</t>
        </is>
      </c>
      <c r="G1514" t="inlineStr">
        <is>
          <t>2026-02-16</t>
        </is>
      </c>
    </row>
    <row r="1515" ht="25.5" customHeight="1">
      <c r="A1515" t="inlineStr">
        <is>
          <t>《心理学史》原书第2版 配图表照片 直观地了解心理学[pdf]</t>
        </is>
      </c>
      <c r="B1515" s="2" t="str">
        <f>=HYPERLINK("https://pan.quark.cn/s/c2fb25877e0b", "https://pan.quark.cn/s/c2fb25877e0b")</f>
        <v>https://pan.quark.cn/s/c2fb25877e0b</v>
      </c>
      <c r="C1515" t="inlineStr">
        <is>
          <t>20.2MB</t>
        </is>
      </c>
      <c r="D1515" t="inlineStr">
        <is>
          <t>/心理学史/图表照片/直观学习/pdf/大学生/考研/考公/考证党</t>
        </is>
      </c>
      <c r="E1515" t="inlineStr">
        <is>
          <t>https://dcn8qexvg13r.feishu.cn/share/base/query/shrcnMqxwwRkV3NUIUxPeab3sec</t>
        </is>
      </c>
      <c r="F1515" t="inlineStr">
        <is>
          <t>请添加微信：k846211</t>
        </is>
      </c>
      <c r="G1515" t="inlineStr">
        <is>
          <t>2026-02-16</t>
        </is>
      </c>
    </row>
    <row r="1516" ht="25.5" customHeight="1">
      <c r="A1516" t="inlineStr">
        <is>
          <t>2026丨春晚合集</t>
        </is>
      </c>
      <c r="B1516" s="2" t="str">
        <f>=HYPERLINK("https://pan.quark.cn/s/3e74da1ecf8e", "https://pan.quark.cn/s/3e74da1ecf8e")</f>
        <v>https://pan.quark.cn/s/3e74da1ecf8e</v>
      </c>
      <c r="C1516" t="inlineStr">
        <is>
          <t>549.6GB</t>
        </is>
      </c>
      <c r="D1516" t="inlineStr">
        <is>
          <t>/春晚/综艺/娱乐/文化/其他</t>
        </is>
      </c>
      <c r="E1516" t="inlineStr">
        <is>
          <t>https://dcn8qexvg13r.feishu.cn/share/base/query/shrcnMqxwwRkV3NUIUxPeab3sec</t>
        </is>
      </c>
      <c r="F1516" t="inlineStr">
        <is>
          <t>请添加微信：k846211</t>
        </is>
      </c>
      <c r="G1516" t="inlineStr">
        <is>
          <t>2026-02-16</t>
        </is>
      </c>
    </row>
    <row r="1517" ht="25.5" customHeight="1">
      <c r="A1517" t="inlineStr">
        <is>
          <t>历年春晚小品相声合集216集+50部精选修复高清小品相声修复</t>
        </is>
      </c>
      <c r="B1517" s="2" t="str">
        <f>=HYPERLINK("https://pan.quark.cn/s/80088d22c2d3", "https://pan.quark.cn/s/80088d22c2d3")</f>
        <v>https://pan.quark.cn/s/80088d22c2d3</v>
      </c>
      <c r="C1517" t="inlineStr">
        <is>
          <t>193.5GB</t>
        </is>
      </c>
      <c r="D1517" t="inlineStr">
        <is>
          <t>/春晚/小品/相声/高清修复/其他</t>
        </is>
      </c>
      <c r="E1517" t="inlineStr">
        <is>
          <t>https://dcn8qexvg13r.feishu.cn/share/base/query/shrcnMqxwwRkV3NUIUxPeab3sec</t>
        </is>
      </c>
      <c r="F1517" t="inlineStr">
        <is>
          <t>请添加微信：k846211</t>
        </is>
      </c>
      <c r="G1517" t="inlineStr">
        <is>
          <t>2026-02-16</t>
        </is>
      </c>
    </row>
    <row r="1518" ht="25.5" customHeight="1">
      <c r="A1518" t="inlineStr">
        <is>
          <t>春节歌曲喜庆音乐春节必备BGM贺年歌MV</t>
        </is>
      </c>
      <c r="B1518" s="2" t="str">
        <f>=HYPERLINK("https://pan.quark.cn/s/2aa6b34c4745", "https://pan.quark.cn/s/2aa6b34c4745")</f>
        <v>https://pan.quark.cn/s/2aa6b34c4745</v>
      </c>
      <c r="C1518" t="inlineStr">
        <is>
          <t>60.3GB</t>
        </is>
      </c>
      <c r="D1518" t="inlineStr">
        <is>
          <t>/春节歌曲/喜庆音乐/贺年歌/MV/音乐迷/其他</t>
        </is>
      </c>
      <c r="E1518" t="inlineStr">
        <is>
          <t>https://dcn8qexvg13r.feishu.cn/share/base/query/shrcnMqxwwRkV3NUIUxPeab3sec</t>
        </is>
      </c>
      <c r="F1518" t="inlineStr">
        <is>
          <t>请添加微信：k846211</t>
        </is>
      </c>
      <c r="G1518" t="inlineStr">
        <is>
          <t>2026-02-16</t>
        </is>
      </c>
    </row>
    <row r="1519" ht="25.5" customHeight="1">
      <c r="A1519" t="inlineStr">
        <is>
          <t>🎬中央广播电视总台·CCTV春节联欢晚会 (1983-2025合集) [573G]</t>
        </is>
      </c>
      <c r="B1519" s="2" t="str">
        <f>=HYPERLINK("https://pan.quark.cn/s/cb51d52e02b0", "https://pan.quark.cn/s/cb51d52e02b0")</f>
        <v>https://pan.quark.cn/s/cb51d52e02b0</v>
      </c>
      <c r="C1519" t="inlineStr">
        <is>
          <t>573.5GB</t>
        </is>
      </c>
      <c r="D1519" t="inlineStr">
        <is>
          <t>/春节联欢晚会/CCTV/中央广播电视总台/晚会/其他</t>
        </is>
      </c>
      <c r="E1519" t="inlineStr">
        <is>
          <t>https://dcn8qexvg13r.feishu.cn/share/base/query/shrcnMqxwwRkV3NUIUxPeab3sec</t>
        </is>
      </c>
      <c r="F1519" t="inlineStr">
        <is>
          <t>请添加微信：k846211</t>
        </is>
      </c>
      <c r="G1519" t="inlineStr">
        <is>
          <t>2026-02-16</t>
        </is>
      </c>
    </row>
    <row r="1520" ht="25.5" customHeight="1">
      <c r="A1520" t="inlineStr">
        <is>
          <t>经典小品，喜剧人，喜剧大会小品，脱口秀，吐丨槽大丨会合集，德丨云丨社相声合集</t>
        </is>
      </c>
      <c r="B1520" s="2" t="str">
        <f>=HYPERLINK("https://pan.quark.cn/s/3533b3a656a2", "https://pan.quark.cn/s/3533b3a656a2")</f>
        <v>https://pan.quark.cn/s/3533b3a656a2</v>
      </c>
      <c r="C1520" t="inlineStr">
        <is>
          <t>912.6GB</t>
        </is>
      </c>
      <c r="D1520" t="inlineStr">
        <is>
          <t>/喜剧/小品/脱口秀/相声/其他</t>
        </is>
      </c>
      <c r="E1520" t="inlineStr">
        <is>
          <t>https://dcn8qexvg13r.feishu.cn/share/base/query/shrcnMqxwwRkV3NUIUxPeab3sec</t>
        </is>
      </c>
      <c r="F1520" t="inlineStr">
        <is>
          <t>请添加微信：k846211</t>
        </is>
      </c>
      <c r="G1520" t="inlineStr">
        <is>
          <t>2026-02-16</t>
        </is>
      </c>
    </row>
    <row r="1521" ht="25.5" customHeight="1">
      <c r="A1521" t="inlineStr">
        <is>
          <t>贺岁片20年 （2002~2024贺岁片合集）</t>
        </is>
      </c>
      <c r="B1521" s="2" t="str">
        <f>=HYPERLINK("https://pan.quark.cn/s/beda169a91fa", "https://pan.quark.cn/s/beda169a91fa")</f>
        <v>https://pan.quark.cn/s/beda169a91fa</v>
      </c>
      <c r="C1521" t="inlineStr">
        <is>
          <t>475.7GB</t>
        </is>
      </c>
      <c r="D1521" t="inlineStr">
        <is>
          <t>/贺岁片/2002-2024/电影合集/电影</t>
        </is>
      </c>
      <c r="E1521" t="inlineStr">
        <is>
          <t>https://dcn8qexvg13r.feishu.cn/share/base/query/shrcnMqxwwRkV3NUIUxPeab3sec</t>
        </is>
      </c>
      <c r="F1521" t="inlineStr">
        <is>
          <t>请添加微信：k846211</t>
        </is>
      </c>
      <c r="G1521" t="inlineStr">
        <is>
          <t>2026-02-16</t>
        </is>
      </c>
    </row>
    <row r="1522" ht="25.5" customHeight="1">
      <c r="A1522" t="inlineStr">
        <is>
          <t>【家长应该陪孩子看的100部纪录片】</t>
        </is>
      </c>
      <c r="B1522" s="2" t="str">
        <f>=HYPERLINK("https://pan.quark.cn/s/070657b5c1ad", "https://pan.quark.cn/s/070657b5c1ad")</f>
        <v>https://pan.quark.cn/s/070657b5c1ad</v>
      </c>
      <c r="C1522" t="inlineStr">
        <is>
          <t>547.3GB</t>
        </is>
      </c>
      <c r="D1522" t="inlineStr">
        <is>
          <t>/家长/孩子/纪录片/亲子教育/宝妈/家长群体/学龄儿童家长</t>
        </is>
      </c>
      <c r="E1522" t="inlineStr">
        <is>
          <t>https://dcn8qexvg13r.feishu.cn/share/base/query/shrcnMqxwwRkV3NUIUxPeab3sec</t>
        </is>
      </c>
      <c r="F1522" t="inlineStr">
        <is>
          <t>请添加微信：k846211</t>
        </is>
      </c>
      <c r="G1522" t="inlineStr">
        <is>
          <t>2026-02-16</t>
        </is>
      </c>
    </row>
    <row r="1523" ht="25.5" customHeight="1">
      <c r="A1523" t="inlineStr">
        <is>
          <t>剪映全版本合集【解锁会员版安装包】</t>
        </is>
      </c>
      <c r="B1523" s="2" t="str">
        <f>=HYPERLINK("https://pan.quark.cn/s/dfb14a59d04c", "https://pan.quark.cn/s/dfb14a59d04c")</f>
        <v>https://pan.quark.cn/s/dfb14a59d04c</v>
      </c>
      <c r="C1523" t="inlineStr">
        <is>
          <t>16.4GB</t>
        </is>
      </c>
      <c r="D1523" t="inlineStr">
        <is>
          <t>/剪映/视频编辑/会员功能/安装包/特定行业从业者/技能入门</t>
        </is>
      </c>
      <c r="E1523" t="inlineStr">
        <is>
          <t>https://dcn8qexvg13r.feishu.cn/share/base/query/shrcnMqxwwRkV3NUIUxPeab3sec</t>
        </is>
      </c>
      <c r="F1523" t="inlineStr">
        <is>
          <t>请添加微信：k846211</t>
        </is>
      </c>
      <c r="G1523" t="inlineStr">
        <is>
          <t>2026-02-16</t>
        </is>
      </c>
    </row>
    <row r="1524" ht="25.5" customHeight="1">
      <c r="A1524" t="inlineStr">
        <is>
          <t>零基础系统学习网络安全教程（从入门到精通）</t>
        </is>
      </c>
      <c r="B1524" s="2" t="str">
        <f>=HYPERLINK("https://pan.quark.cn/s/9d660dafce96", "https://pan.quark.cn/s/9d660dafce96")</f>
        <v>https://pan.quark.cn/s/9d660dafce96</v>
      </c>
      <c r="C1524" t="inlineStr">
        <is>
          <t>10.9GB</t>
        </is>
      </c>
      <c r="D1524" t="inlineStr">
        <is>
          <t>/网络安全/系统学习/零基础/入门到精通/大学生/技能入门</t>
        </is>
      </c>
      <c r="E1524" t="inlineStr">
        <is>
          <t>https://dcn8qexvg13r.feishu.cn/share/base/query/shrcnMqxwwRkV3NUIUxPeab3sec</t>
        </is>
      </c>
      <c r="F1524" t="inlineStr">
        <is>
          <t>请添加微信：k846211</t>
        </is>
      </c>
      <c r="G1524" t="inlineStr">
        <is>
          <t>2026-02-16</t>
        </is>
      </c>
    </row>
    <row r="1525" ht="25.5" customHeight="1">
      <c r="A1525" t="inlineStr">
        <is>
          <t>韩立刚老师门徒级课程专题（WS+网络安全+数据库）</t>
        </is>
      </c>
      <c r="B1525" s="2" t="str">
        <f>=HYPERLINK("https://pan.quark.cn/s/16b482b4c20d", "https://pan.quark.cn/s/16b482b4c20d")</f>
        <v>https://pan.quark.cn/s/16b482b4c20d</v>
      </c>
      <c r="C1525" t="inlineStr">
        <is>
          <t>102.8GB</t>
        </is>
      </c>
      <c r="D1525" t="inlineStr">
        <is>
          <t>/WS/网络安全/数据库/门徒级课程/大学生/考研/考公/考证党/特定行业从业者</t>
        </is>
      </c>
      <c r="E1525" t="inlineStr">
        <is>
          <t>https://dcn8qexvg13r.feishu.cn/share/base/query/shrcnMqxwwRkV3NUIUxPeab3sec</t>
        </is>
      </c>
      <c r="F1525" t="inlineStr">
        <is>
          <t>请添加微信：k846211</t>
        </is>
      </c>
      <c r="G1525" t="inlineStr">
        <is>
          <t>2026-02-16</t>
        </is>
      </c>
    </row>
    <row r="1526" ht="25.5" customHeight="1">
      <c r="A1526" t="inlineStr">
        <is>
          <t>web安全内部培训</t>
        </is>
      </c>
      <c r="B1526" s="2" t="str">
        <f>=HYPERLINK("https://pan.quark.cn/s/8aa5ae07e557", "https://pan.quark.cn/s/8aa5ae07e557")</f>
        <v>https://pan.quark.cn/s/8aa5ae07e557</v>
      </c>
      <c r="C1526" t="inlineStr">
        <is>
          <t>34.6GB</t>
        </is>
      </c>
      <c r="D1526" t="inlineStr">
        <is>
          <t>/web安全/内部培训/安全技能/白领/特定行业从业者</t>
        </is>
      </c>
      <c r="E1526" t="inlineStr">
        <is>
          <t>https://dcn8qexvg13r.feishu.cn/share/base/query/shrcnMqxwwRkV3NUIUxPeab3sec</t>
        </is>
      </c>
      <c r="F1526" t="inlineStr">
        <is>
          <t>请添加微信：k846211</t>
        </is>
      </c>
      <c r="G1526" t="inlineStr">
        <is>
          <t>2026-02-16</t>
        </is>
      </c>
    </row>
    <row r="1527" ht="25.5" customHeight="1">
      <c r="A1527" t="inlineStr">
        <is>
          <t>极限审判</t>
        </is>
      </c>
      <c r="B1527" s="2" t="str">
        <f>=HYPERLINK("https://pan.quark.cn/s/9c5fc3e7162c", "https://pan.quark.cn/s/9c5fc3e7162c")</f>
        <v>https://pan.quark.cn/s/9c5fc3e7162c</v>
      </c>
      <c r="C1527" t="inlineStr">
        <is>
          <t>3.4GB</t>
        </is>
      </c>
      <c r="D1527" t="inlineStr">
        <is>
          <t>/审判/悬疑/剧情/剧集/其他</t>
        </is>
      </c>
      <c r="E1527" t="inlineStr">
        <is>
          <t>https://dcn8qexvg13r.feishu.cn/share/base/query/shrcnMqxwwRkV3NUIUxPeab3sec</t>
        </is>
      </c>
      <c r="F1527" t="inlineStr">
        <is>
          <t>请添加微信：k846211</t>
        </is>
      </c>
      <c r="G1527" t="inlineStr">
        <is>
          <t>2026-02-17</t>
        </is>
      </c>
    </row>
    <row r="1528" ht="25.5" customHeight="1">
      <c r="A1528" t="inlineStr">
        <is>
          <t>【电影】星球大战.全11部合集.内嵌中英双字.4K</t>
        </is>
      </c>
      <c r="B1528" s="2" t="str">
        <f>=HYPERLINK("https://pan.quark.cn/s/314b1aea60e6", "https://pan.quark.cn/s/314b1aea60e6")</f>
        <v>https://pan.quark.cn/s/314b1aea60e6</v>
      </c>
      <c r="C1528" t="inlineStr">
        <is>
          <t>114.4GB</t>
        </is>
      </c>
      <c r="D1528" t="inlineStr">
        <is>
          <t>/星球大战/4K/中英双字/电影/电影</t>
        </is>
      </c>
      <c r="E1528" t="inlineStr">
        <is>
          <t>https://dcn8qexvg13r.feishu.cn/share/base/query/shrcnMqxwwRkV3NUIUxPeab3sec</t>
        </is>
      </c>
      <c r="F1528" t="inlineStr">
        <is>
          <t>请添加微信：k846211</t>
        </is>
      </c>
      <c r="G1528" t="inlineStr">
        <is>
          <t>2026-02-17</t>
        </is>
      </c>
    </row>
    <row r="1529" ht="25.5" customHeight="1">
      <c r="A1529" t="inlineStr">
        <is>
          <t>小黑2</t>
        </is>
      </c>
      <c r="B1529" s="2" t="str">
        <f>=HYPERLINK("https://pan.quark.cn/s/0c6740811603", "https://pan.quark.cn/s/0c6740811603")</f>
        <v>https://pan.quark.cn/s/0c6740811603</v>
      </c>
      <c r="C1529" t="inlineStr">
        <is>
          <t>26.7GB</t>
        </is>
      </c>
      <c r="D1529" t="inlineStr">
        <is>
          <t>/其他/其他</t>
        </is>
      </c>
      <c r="E1529" t="inlineStr">
        <is>
          <t>https://dcn8qexvg13r.feishu.cn/share/base/query/shrcnMqxwwRkV3NUIUxPeab3sec</t>
        </is>
      </c>
      <c r="F1529" t="inlineStr">
        <is>
          <t>请添加微信：k846211</t>
        </is>
      </c>
      <c r="G1529" t="inlineStr">
        <is>
          <t>2026-02-17</t>
        </is>
      </c>
    </row>
    <row r="1530" ht="25.5" customHeight="1">
      <c r="A1530" t="inlineStr">
        <is>
          <t>X 寻meng环游ji（2017）4K+1080P</t>
        </is>
      </c>
      <c r="B1530" s="2" t="str">
        <f>=HYPERLINK("https://pan.quark.cn/s/deb2046dc95f", "https://pan.quark.cn/s/deb2046dc95f")</f>
        <v>https://pan.quark.cn/s/deb2046dc95f</v>
      </c>
      <c r="C1530" t="inlineStr">
        <is>
          <t>14.8GB</t>
        </is>
      </c>
      <c r="D1530" t="inlineStr">
        <is>
          <t>/环游/4K/1080P/纪录片/电影</t>
        </is>
      </c>
      <c r="E1530" t="inlineStr">
        <is>
          <t>https://dcn8qexvg13r.feishu.cn/share/base/query/shrcnMqxwwRkV3NUIUxPeab3sec</t>
        </is>
      </c>
      <c r="F1530" t="inlineStr">
        <is>
          <t>请添加微信：k846211</t>
        </is>
      </c>
      <c r="G1530" t="inlineStr">
        <is>
          <t>2026-02-17</t>
        </is>
      </c>
    </row>
    <row r="1531" ht="25.5" customHeight="1">
      <c r="A1531" t="inlineStr">
        <is>
          <t>玩具总动员</t>
        </is>
      </c>
      <c r="B1531" s="2" t="str">
        <f>=HYPERLINK("https://pan.quark.cn/s/3a1e4864ab8d", "https://pan.quark.cn/s/3a1e4864ab8d")</f>
        <v>https://pan.quark.cn/s/3a1e4864ab8d</v>
      </c>
      <c r="C1531" t="inlineStr">
        <is>
          <t>86.6GB</t>
        </is>
      </c>
      <c r="D1531" t="inlineStr">
        <is>
          <t>/动画/家庭/友情/成长/学龄儿童家长/动漫</t>
        </is>
      </c>
      <c r="E1531" t="inlineStr">
        <is>
          <t>https://dcn8qexvg13r.feishu.cn/share/base/query/shrcnMqxwwRkV3NUIUxPeab3sec</t>
        </is>
      </c>
      <c r="F1531" t="inlineStr">
        <is>
          <t>请添加微信：k846211</t>
        </is>
      </c>
      <c r="G1531" t="inlineStr">
        <is>
          <t>2026-02-17</t>
        </is>
      </c>
    </row>
    <row r="1532" ht="25.5" customHeight="1">
      <c r="A1532" t="inlineStr">
        <is>
          <t>B 白蛇 1-3部 内嵌简中字幕 4K 60&amp;120帧</t>
        </is>
      </c>
      <c r="B1532" s="2" t="str">
        <f>=HYPERLINK("https://pan.quark.cn/s/158a95d48c4c", "https://pan.quark.cn/s/158a95d48c4c")</f>
        <v>https://pan.quark.cn/s/158a95d48c4c</v>
      </c>
      <c r="C1532" t="inlineStr">
        <is>
          <t>71.1GB</t>
        </is>
      </c>
      <c r="D1532" t="inlineStr">
        <is>
          <t>/白蛇/4K/高帧率/内嵌字幕/电影/动漫</t>
        </is>
      </c>
      <c r="E1532" t="inlineStr">
        <is>
          <t>https://dcn8qexvg13r.feishu.cn/share/base/query/shrcnMqxwwRkV3NUIUxPeab3sec</t>
        </is>
      </c>
      <c r="F1532" t="inlineStr">
        <is>
          <t>请添加微信：k846211</t>
        </is>
      </c>
      <c r="G1532" t="inlineStr">
        <is>
          <t>2026-02-17</t>
        </is>
      </c>
    </row>
    <row r="1533" ht="25.5" customHeight="1">
      <c r="A1533" t="inlineStr">
        <is>
          <t>LL浪山x妖怪 (2025)</t>
        </is>
      </c>
      <c r="B1533" s="2" t="str">
        <f>=HYPERLINK("https://pan.quark.cn/s/75e5ce73b04e", "https://pan.quark.cn/s/75e5ce73b04e")</f>
        <v>https://pan.quark.cn/s/75e5ce73b04e</v>
      </c>
      <c r="C1533" t="inlineStr">
        <is>
          <t>55.0GB</t>
        </is>
      </c>
      <c r="D1533" t="inlineStr">
        <is>
          <t>/浪山/妖怪/奇幻/剧集/动漫</t>
        </is>
      </c>
      <c r="E1533" t="inlineStr">
        <is>
          <t>https://dcn8qexvg13r.feishu.cn/share/base/query/shrcnMqxwwRkV3NUIUxPeab3sec</t>
        </is>
      </c>
      <c r="F1533" t="inlineStr">
        <is>
          <t>请添加微信：k846211</t>
        </is>
      </c>
      <c r="G1533" t="inlineStr">
        <is>
          <t>2026-02-17</t>
        </is>
      </c>
    </row>
    <row r="1534" ht="25.5" customHeight="1">
      <c r="A1534" t="inlineStr">
        <is>
          <t>新海诚动画电影合集 珍藏版（含短片）</t>
        </is>
      </c>
      <c r="B1534" s="2" t="str">
        <f>=HYPERLINK("https://pan.quark.cn/s/2f31accf460a", "https://pan.quark.cn/s/2f31accf460a")</f>
        <v>https://pan.quark.cn/s/2f31accf460a</v>
      </c>
      <c r="C1534" t="inlineStr">
        <is>
          <t>7.7GB</t>
        </is>
      </c>
      <c r="D1534" t="inlineStr">
        <is>
          <t>/新海诚/动画电影/短片/珍藏版/动漫/电影</t>
        </is>
      </c>
      <c r="E1534" t="inlineStr">
        <is>
          <t>https://dcn8qexvg13r.feishu.cn/share/base/query/shrcnMqxwwRkV3NUIUxPeab3sec</t>
        </is>
      </c>
      <c r="F1534" t="inlineStr">
        <is>
          <t>请添加微信：k846211</t>
        </is>
      </c>
      <c r="G1534" t="inlineStr">
        <is>
          <t>2026-02-17</t>
        </is>
      </c>
    </row>
    <row r="1535" ht="25.5" customHeight="1">
      <c r="A1535" t="inlineStr">
        <is>
          <t>🎁迪士尼系列动画139部 国英双语音轨 【蓝光珍藏版】</t>
        </is>
      </c>
      <c r="B1535" s="2" t="str">
        <f>=HYPERLINK("https://pan.quark.cn/s/936b7443f3d8", "https://pan.quark.cn/s/936b7443f3d8")</f>
        <v>https://pan.quark.cn/s/936b7443f3d8</v>
      </c>
      <c r="C1535" t="inlineStr">
        <is>
          <t>440.1GB</t>
        </is>
      </c>
      <c r="D1535" t="inlineStr">
        <is>
          <t>/迪士尼/动画/国英双语/蓝光/动漫/宝妈/家长群体</t>
        </is>
      </c>
      <c r="E1535" t="inlineStr">
        <is>
          <t>https://dcn8qexvg13r.feishu.cn/share/base/query/shrcnMqxwwRkV3NUIUxPeab3sec</t>
        </is>
      </c>
      <c r="F1535" t="inlineStr">
        <is>
          <t>请添加微信：k846211</t>
        </is>
      </c>
      <c r="G1535" t="inlineStr">
        <is>
          <t>2026-02-17</t>
        </is>
      </c>
    </row>
    <row r="1536" ht="25.5" customHeight="1">
      <c r="A1536" t="inlineStr">
        <is>
          <t>【皮克斯动画电影大合集】</t>
        </is>
      </c>
      <c r="B1536" s="2" t="str">
        <f>=HYPERLINK("https://pan.quark.cn/s/478db3fd3153", "https://pan.quark.cn/s/478db3fd3153")</f>
        <v>https://pan.quark.cn/s/478db3fd3153</v>
      </c>
      <c r="C1536" t="inlineStr">
        <is>
          <t>271.4GB</t>
        </is>
      </c>
      <c r="D1536" t="inlineStr">
        <is>
          <t>/皮克斯/动画电影/合家欢/电影/动漫</t>
        </is>
      </c>
      <c r="E1536" t="inlineStr">
        <is>
          <t>https://dcn8qexvg13r.feishu.cn/share/base/query/shrcnMqxwwRkV3NUIUxPeab3sec</t>
        </is>
      </c>
      <c r="F1536" t="inlineStr">
        <is>
          <t>请添加微信：k846211</t>
        </is>
      </c>
      <c r="G1536" t="inlineStr">
        <is>
          <t>2026-02-17</t>
        </is>
      </c>
    </row>
    <row r="1537" ht="25.5" customHeight="1">
      <c r="A1537" t="inlineStr">
        <is>
          <t>Game.of.Thrones.S02.2012.UHD.Blu-ray.2160p.10bit.DoVi.2Audio.TrueHD(Atmos).7.1.x265-beAst</t>
        </is>
      </c>
      <c r="B1537" s="2" t="str">
        <f>=HYPERLINK("https://pan.quark.cn/s/1ccca27ce73a", "https://pan.quark.cn/s/1ccca27ce73a")</f>
        <v>https://pan.quark.cn/s/1ccca27ce73a</v>
      </c>
      <c r="C1537" t="inlineStr">
        <is>
          <t>157.1GB</t>
        </is>
      </c>
      <c r="D1537" t="inlineStr">
        <is>
          <t>/权力的游戏/第二季/4K UHD/剧集/剧集</t>
        </is>
      </c>
      <c r="E1537" t="inlineStr">
        <is>
          <t>https://dcn8qexvg13r.feishu.cn/share/base/query/shrcnMqxwwRkV3NUIUxPeab3sec</t>
        </is>
      </c>
      <c r="F1537" t="inlineStr">
        <is>
          <t>请添加微信：k846211</t>
        </is>
      </c>
      <c r="G1537" t="inlineStr">
        <is>
          <t>2026-02-21</t>
        </is>
      </c>
    </row>
    <row r="1538" ht="25.5" customHeight="1">
      <c r="A1538" t="inlineStr">
        <is>
          <t>T-他-H-她-D-谎</t>
        </is>
      </c>
      <c r="B1538" s="2" t="str">
        <f>=HYPERLINK("https://pan.quark.cn/s/047231a233be", "https://pan.quark.cn/s/047231a233be")</f>
        <v>https://pan.quark.cn/s/047231a233be</v>
      </c>
      <c r="C1538" t="inlineStr">
        <is>
          <t>15.8GB</t>
        </is>
      </c>
      <c r="D1538" t="inlineStr">
        <is>
          <t>/情感关系/性别互动/谎言识别/人际沟通/其他</t>
        </is>
      </c>
      <c r="E1538" t="inlineStr">
        <is>
          <t>https://dcn8qexvg13r.feishu.cn/share/base/query/shrcnMqxwwRkV3NUIUxPeab3sec</t>
        </is>
      </c>
      <c r="F1538" t="inlineStr">
        <is>
          <t>请添加微信：k846211</t>
        </is>
      </c>
      <c r="G1538" t="inlineStr">
        <is>
          <t>2026-02-21</t>
        </is>
      </c>
    </row>
    <row r="1539" ht="25.5" customHeight="1">
      <c r="A1539" t="inlineStr">
        <is>
          <t>炼丨气十万年</t>
        </is>
      </c>
      <c r="B1539" s="2" t="str">
        <f>=HYPERLINK("https://pan.quark.cn/s/35326aa4728f", "https://pan.quark.cn/s/35326aa4728f")</f>
        <v>https://pan.quark.cn/s/35326aa4728f</v>
      </c>
      <c r="C1539" t="inlineStr">
        <is>
          <t>95.2GB</t>
        </is>
      </c>
      <c r="D1539" t="inlineStr">
        <is>
          <t>/炼气/修仙/玄幻/十万年/动漫/其他</t>
        </is>
      </c>
      <c r="E1539" t="inlineStr">
        <is>
          <t>https://dcn8qexvg13r.feishu.cn/share/base/query/shrcnMqxwwRkV3NUIUxPeab3sec</t>
        </is>
      </c>
      <c r="F1539" t="inlineStr">
        <is>
          <t>请添加微信：k846211</t>
        </is>
      </c>
      <c r="G1539" t="inlineStr">
        <is>
          <t>2026-02-21</t>
        </is>
      </c>
    </row>
    <row r="1540" ht="25.5" customHeight="1">
      <c r="A1540" t="inlineStr">
        <is>
          <t>电工知识资料教程大全</t>
        </is>
      </c>
      <c r="B1540" s="2" t="str">
        <f>=HYPERLINK("https://pan.quark.cn/s/0f9ec9a335bb", "https://pan.quark.cn/s/0f9ec9a335bb")</f>
        <v>https://pan.quark.cn/s/0f9ec9a335bb</v>
      </c>
      <c r="C1540" t="inlineStr">
        <is>
          <t>283.3GB</t>
        </is>
      </c>
      <c r="D1540" t="inlineStr">
        <is>
          <t>/电工知识/教程/技能入门/特定行业从业者/考证党</t>
        </is>
      </c>
      <c r="E1540" t="inlineStr">
        <is>
          <t>https://dcn8qexvg13r.feishu.cn/share/base/query/shrcnMqxwwRkV3NUIUxPeab3sec</t>
        </is>
      </c>
      <c r="F1540" t="inlineStr">
        <is>
          <t>请添加微信：k846211</t>
        </is>
      </c>
      <c r="G1540" t="inlineStr">
        <is>
          <t>2026-02-21</t>
        </is>
      </c>
    </row>
    <row r="1541" ht="25.5" customHeight="1">
      <c r="A1541" t="inlineStr">
        <is>
          <t>行尸走肉 (1-11季全) +附带全系列衍生剧［英语中字］［顶级画质］【超全收录】</t>
        </is>
      </c>
      <c r="B1541" s="2" t="str">
        <f>=HYPERLINK("https://pan.quark.cn/s/136a4e834fdf", "https://pan.quark.cn/s/136a4e834fdf")</f>
        <v>https://pan.quark.cn/s/136a4e834fdf</v>
      </c>
      <c r="C1541" t="inlineStr">
        <is>
          <t>2.2TB</t>
        </is>
      </c>
      <c r="D1541" t="inlineStr">
        <is>
          <t>/行尸走肉/剧集/衍生剧/英语中字/顶级画质/剧集</t>
        </is>
      </c>
      <c r="E1541" t="inlineStr">
        <is>
          <t>https://dcn8qexvg13r.feishu.cn/share/base/query/shrcnMqxwwRkV3NUIUxPeab3sec</t>
        </is>
      </c>
      <c r="F1541" t="inlineStr">
        <is>
          <t>请添加微信：k846211</t>
        </is>
      </c>
      <c r="G1541" t="inlineStr">
        <is>
          <t>2026-02-21</t>
        </is>
      </c>
    </row>
    <row r="1542" ht="25.5" customHeight="1">
      <c r="A1542" t="inlineStr">
        <is>
          <t>AE PR动态文字标题字幕条动画动态基本图形模板预设包</t>
        </is>
      </c>
      <c r="B1542" s="2" t="str">
        <f>=HYPERLINK("https://pan.quark.cn/s/f20badaefbf9", "https://pan.quark.cn/s/f20badaefbf9")</f>
        <v>https://pan.quark.cn/s/f20badaefbf9</v>
      </c>
      <c r="C1542" t="inlineStr">
        <is>
          <t>806.1MB</t>
        </is>
      </c>
      <c r="D1542" t="inlineStr">
        <is>
          <t>/动态文字/标题字幕/动画模板/基本图形/设计素材/特定行业从业者</t>
        </is>
      </c>
      <c r="E1542" t="inlineStr">
        <is>
          <t>https://dcn8qexvg13r.feishu.cn/share/base/query/shrcnMqxwwRkV3NUIUxPeab3sec</t>
        </is>
      </c>
      <c r="F1542" t="inlineStr">
        <is>
          <t>请添加微信：k846211</t>
        </is>
      </c>
      <c r="G1542" t="inlineStr">
        <is>
          <t>2026-02-21</t>
        </is>
      </c>
    </row>
    <row r="1543" ht="25.5" customHeight="1">
      <c r="A1543" t="inlineStr">
        <is>
          <t>26大懒猫</t>
        </is>
      </c>
      <c r="B1543" s="2" t="str">
        <f>=HYPERLINK("https://pan.quark.cn/s/d6ed2c71447d", "https://pan.quark.cn/s/d6ed2c71447d")</f>
        <v>https://pan.quark.cn/s/d6ed2c71447d</v>
      </c>
      <c r="C1543" t="inlineStr">
        <is>
          <t>122.2GB</t>
        </is>
      </c>
      <c r="D1543" t="inlineStr">
        <is>
          <t>/大懒猫//其他</t>
        </is>
      </c>
      <c r="E1543" t="inlineStr">
        <is>
          <t>https://dcn8qexvg13r.feishu.cn/share/base/query/shrcnMqxwwRkV3NUIUxPeab3sec</t>
        </is>
      </c>
      <c r="F1543" t="inlineStr">
        <is>
          <t>请添加微信：k846211</t>
        </is>
      </c>
      <c r="G1543" t="inlineStr">
        <is>
          <t>2026-02-21</t>
        </is>
      </c>
    </row>
    <row r="1544" ht="25.5" customHeight="1">
      <c r="A1544" t="inlineStr">
        <is>
          <t>「26春人教版数学《王朝霞思维训练超详解》1~6下」</t>
        </is>
      </c>
      <c r="B1544" s="2" t="str">
        <f>=HYPERLINK("https://pan.quark.cn/s/9642620861a8", "https://pan.quark.cn/s/9642620861a8")</f>
        <v>https://pan.quark.cn/s/9642620861a8</v>
      </c>
      <c r="C1544" t="inlineStr">
        <is>
          <t>3.7GB</t>
        </is>
      </c>
      <c r="D1544" t="inlineStr">
        <is>
          <t>/人教版数学/思维训练/超详解/小学下册/学龄儿童家长/K12</t>
        </is>
      </c>
      <c r="E1544" t="inlineStr">
        <is>
          <t>https://dcn8qexvg13r.feishu.cn/share/base/query/shrcnMqxwwRkV3NUIUxPeab3sec</t>
        </is>
      </c>
      <c r="F1544" t="inlineStr">
        <is>
          <t>请添加微信：k846211</t>
        </is>
      </c>
      <c r="G1544" t="inlineStr">
        <is>
          <t>2026-02-22</t>
        </is>
      </c>
    </row>
    <row r="1545" ht="25.5" customHeight="1">
      <c r="A1545" t="inlineStr">
        <is>
          <t>【小学】2026春语文、数学、英语《王朝霞活页默写》</t>
        </is>
      </c>
      <c r="B1545" s="2" t="str">
        <f>=HYPERLINK("https://pan.quark.cn/s/bde382e34547", "https://pan.quark.cn/s/bde382e34547")</f>
        <v>https://pan.quark.cn/s/bde382e34547</v>
      </c>
      <c r="C1545" t="inlineStr">
        <is>
          <t>320.8MB</t>
        </is>
      </c>
      <c r="D1545" t="inlineStr">
        <is>
          <t>/小学/语文/数学/英语/默写/K12/学龄儿童家长</t>
        </is>
      </c>
      <c r="E1545" t="inlineStr">
        <is>
          <t>https://dcn8qexvg13r.feishu.cn/share/base/query/shrcnMqxwwRkV3NUIUxPeab3sec</t>
        </is>
      </c>
      <c r="F1545" t="inlineStr">
        <is>
          <t>请添加微信：k846211</t>
        </is>
      </c>
      <c r="G1545" t="inlineStr">
        <is>
          <t>2026-02-22</t>
        </is>
      </c>
    </row>
    <row r="1546" ht="25.5" customHeight="1">
      <c r="A1546" t="inlineStr">
        <is>
          <t>✅1-6年级语文下一遍过看图写话</t>
        </is>
      </c>
      <c r="B1546" s="2" t="str">
        <f>=HYPERLINK("https://pan.quark.cn/s/e69fcbe883d1", "https://pan.quark.cn/s/e69fcbe883d1")</f>
        <v>https://pan.quark.cn/s/e69fcbe883d1</v>
      </c>
      <c r="C1546" t="inlineStr">
        <is>
          <t>1.4GB</t>
        </is>
      </c>
      <c r="D1546" t="inlineStr">
        <is>
          <t>/语文/看图写话/1-6年级/小学教辅/K12/学龄儿童家长</t>
        </is>
      </c>
      <c r="E1546" t="inlineStr">
        <is>
          <t>https://dcn8qexvg13r.feishu.cn/share/base/query/shrcnMqxwwRkV3NUIUxPeab3sec</t>
        </is>
      </c>
      <c r="F1546" t="inlineStr">
        <is>
          <t>请添加微信：k846211</t>
        </is>
      </c>
      <c r="G1546" t="inlineStr">
        <is>
          <t>2026-02-24</t>
        </is>
      </c>
    </row>
    <row r="1547" ht="25.5" customHeight="1">
      <c r="A1547" t="inlineStr">
        <is>
          <t>《单元默写通关练习》（1下）(1).pdf</t>
        </is>
      </c>
      <c r="B1547" s="2" t="str">
        <f>=HYPERLINK("https://pan.quark.cn/s/3345fe834c87", "https://pan.quark.cn/s/3345fe834c87")</f>
        <v>https://pan.quark.cn/s/3345fe834c87</v>
      </c>
      <c r="C1547" t="inlineStr">
        <is>
          <t>2.5MB</t>
        </is>
      </c>
      <c r="D1547" t="inlineStr">
        <is>
          <t>/单元默写/一年级下册/通关练习/语文/K12/学龄儿童家长</t>
        </is>
      </c>
      <c r="E1547" t="inlineStr">
        <is>
          <t>https://dcn8qexvg13r.feishu.cn/share/base/query/shrcnMqxwwRkV3NUIUxPeab3sec</t>
        </is>
      </c>
      <c r="F1547" t="inlineStr">
        <is>
          <t>请添加微信：k846211</t>
        </is>
      </c>
      <c r="G1547" t="inlineStr">
        <is>
          <t>2026-02-24</t>
        </is>
      </c>
    </row>
    <row r="1548" ht="25.5" customHeight="1">
      <c r="A1548" t="inlineStr">
        <is>
          <t>《单元默写通关练习》（2下）(1).pdf</t>
        </is>
      </c>
      <c r="B1548" s="2" t="str">
        <f>=HYPERLINK("https://pan.quark.cn/s/97941b525671", "https://pan.quark.cn/s/97941b525671")</f>
        <v>https://pan.quark.cn/s/97941b525671</v>
      </c>
      <c r="C1548" t="inlineStr">
        <is>
          <t>9.3MB</t>
        </is>
      </c>
      <c r="D1548" t="inlineStr">
        <is>
          <t>/单元默写/二年级下册/通关练习/语文练习/K12/学龄儿童家长</t>
        </is>
      </c>
      <c r="E1548" t="inlineStr">
        <is>
          <t>https://dcn8qexvg13r.feishu.cn/share/base/query/shrcnMqxwwRkV3NUIUxPeab3sec</t>
        </is>
      </c>
      <c r="F1548" t="inlineStr">
        <is>
          <t>请添加微信：k846211</t>
        </is>
      </c>
      <c r="G1548" t="inlineStr">
        <is>
          <t>2026-02-24</t>
        </is>
      </c>
    </row>
    <row r="1549" ht="25.5" customHeight="1">
      <c r="A1549" t="inlineStr">
        <is>
          <t>《单元默写通关练习》（3下）(1).pdf</t>
        </is>
      </c>
      <c r="B1549" s="2" t="str">
        <f>=HYPERLINK("https://pan.quark.cn/s/b455928ae95e", "https://pan.quark.cn/s/b455928ae95e")</f>
        <v>https://pan.quark.cn/s/b455928ae95e</v>
      </c>
      <c r="C1549" t="inlineStr">
        <is>
          <t>13.8MB</t>
        </is>
      </c>
      <c r="D1549" t="inlineStr">
        <is>
          <t>/单元默写/三年级下册/练习册/语文/K12/学龄儿童家长</t>
        </is>
      </c>
      <c r="E1549" t="inlineStr">
        <is>
          <t>https://dcn8qexvg13r.feishu.cn/share/base/query/shrcnMqxwwRkV3NUIUxPeab3sec</t>
        </is>
      </c>
      <c r="F1549" t="inlineStr">
        <is>
          <t>请添加微信：k846211</t>
        </is>
      </c>
      <c r="G1549" t="inlineStr">
        <is>
          <t>2026-02-24</t>
        </is>
      </c>
    </row>
    <row r="1550" ht="25.5" customHeight="1">
      <c r="A1550" t="inlineStr">
        <is>
          <t>《单元默写通关练习》（1下）(1).pdf</t>
        </is>
      </c>
      <c r="B1550" s="2" t="str">
        <f>=HYPERLINK("https://pan.quark.cn/s/483ab3c28b3e", "https://pan.quark.cn/s/483ab3c28b3e")</f>
        <v>https://pan.quark.cn/s/483ab3c28b3e</v>
      </c>
      <c r="C1550" t="inlineStr">
        <is>
          <t>2.5MB</t>
        </is>
      </c>
      <c r="D1550" t="inlineStr">
        <is>
          <t>/单元默写/一年级下册/练习册/学习通关/K12/学龄儿童家长</t>
        </is>
      </c>
      <c r="E1550" t="inlineStr">
        <is>
          <t>https://dcn8qexvg13r.feishu.cn/share/base/query/shrcnMqxwwRkV3NUIUxPeab3sec</t>
        </is>
      </c>
      <c r="F1550" t="inlineStr">
        <is>
          <t>请添加微信：k846211</t>
        </is>
      </c>
      <c r="G1550" t="inlineStr">
        <is>
          <t>2026-02-24</t>
        </is>
      </c>
    </row>
    <row r="1551" ht="25.5" customHeight="1">
      <c r="A1551" t="inlineStr">
        <is>
          <t>《单元默写通关练习》（2下）(1).pdf</t>
        </is>
      </c>
      <c r="B1551" s="2" t="str">
        <f>=HYPERLINK("https://pan.quark.cn/s/2ebf6f97be03", "https://pan.quark.cn/s/2ebf6f97be03")</f>
        <v>https://pan.quark.cn/s/2ebf6f97be03</v>
      </c>
      <c r="C1551" t="inlineStr">
        <is>
          <t>9.3MB</t>
        </is>
      </c>
      <c r="D1551" t="inlineStr">
        <is>
          <t>/单元默写/二年级下册/练习/小学英语/K12/学龄儿童家长</t>
        </is>
      </c>
      <c r="E1551" t="inlineStr">
        <is>
          <t>https://dcn8qexvg13r.feishu.cn/share/base/query/shrcnMqxwwRkV3NUIUxPeab3sec</t>
        </is>
      </c>
      <c r="F1551" t="inlineStr">
        <is>
          <t>请添加微信：k846211</t>
        </is>
      </c>
      <c r="G1551" t="inlineStr">
        <is>
          <t>2026-02-24</t>
        </is>
      </c>
    </row>
    <row r="1552" ht="25.5" customHeight="1">
      <c r="A1552" t="inlineStr">
        <is>
          <t>《单元默写通关练习》（3下）(1).pdf</t>
        </is>
      </c>
      <c r="B1552" s="2" t="str">
        <f>=HYPERLINK("https://pan.quark.cn/s/51311bda81ba", "https://pan.quark.cn/s/51311bda81ba")</f>
        <v>https://pan.quark.cn/s/51311bda81ba</v>
      </c>
      <c r="C1552" t="inlineStr">
        <is>
          <t>13.8MB</t>
        </is>
      </c>
      <c r="D1552" t="inlineStr">
        <is>
          <t>/单元默写/3年级下册/练习/通关/K12/学龄儿童家长</t>
        </is>
      </c>
      <c r="E1552" t="inlineStr">
        <is>
          <t>https://dcn8qexvg13r.feishu.cn/share/base/query/shrcnMqxwwRkV3NUIUxPeab3sec</t>
        </is>
      </c>
      <c r="F1552" t="inlineStr">
        <is>
          <t>请添加微信：k846211</t>
        </is>
      </c>
      <c r="G1552" t="inlineStr">
        <is>
          <t>2026-02-24</t>
        </is>
      </c>
    </row>
    <row r="1553" ht="25.5" customHeight="1">
      <c r="A1553" t="inlineStr">
        <is>
          <t>《单元默写通关练习》（4下）(1).pdf</t>
        </is>
      </c>
      <c r="B1553" s="2" t="str">
        <f>=HYPERLINK("https://pan.quark.cn/s/7e9c6b3c379a", "https://pan.quark.cn/s/7e9c6b3c379a")</f>
        <v>https://pan.quark.cn/s/7e9c6b3c379a</v>
      </c>
      <c r="C1553" t="inlineStr">
        <is>
          <t>12.4MB</t>
        </is>
      </c>
      <c r="D1553" t="inlineStr">
        <is>
          <t>/单元默写/四年级下册/练习/语文/K12/学龄儿童家长</t>
        </is>
      </c>
      <c r="E1553" t="inlineStr">
        <is>
          <t>https://dcn8qexvg13r.feishu.cn/share/base/query/shrcnMqxwwRkV3NUIUxPeab3sec</t>
        </is>
      </c>
      <c r="F1553" t="inlineStr">
        <is>
          <t>请添加微信：k846211</t>
        </is>
      </c>
      <c r="G1553" t="inlineStr">
        <is>
          <t>2026-02-24</t>
        </is>
      </c>
    </row>
    <row r="1554" ht="25.5" customHeight="1">
      <c r="A1554" t="inlineStr">
        <is>
          <t>《单元默写通关练习》（5下）(1).pdf</t>
        </is>
      </c>
      <c r="B1554" s="2" t="str">
        <f>=HYPERLINK("https://pan.quark.cn/s/92c86141eb4d", "https://pan.quark.cn/s/92c86141eb4d")</f>
        <v>https://pan.quark.cn/s/92c86141eb4d</v>
      </c>
      <c r="C1554" t="inlineStr">
        <is>
          <t>19.1MB</t>
        </is>
      </c>
      <c r="D1554" t="inlineStr">
        <is>
          <t>/单元默写/五年级下册/练习/通关/K12/学龄儿童家长</t>
        </is>
      </c>
      <c r="E1554" t="inlineStr">
        <is>
          <t>https://dcn8qexvg13r.feishu.cn/share/base/query/shrcnMqxwwRkV3NUIUxPeab3sec</t>
        </is>
      </c>
      <c r="F1554" t="inlineStr">
        <is>
          <t>请添加微信：k846211</t>
        </is>
      </c>
      <c r="G1554" t="inlineStr">
        <is>
          <t>2026-02-24</t>
        </is>
      </c>
    </row>
    <row r="1555" ht="25.5" customHeight="1">
      <c r="A1555" t="inlineStr">
        <is>
          <t>《单元默写通关练习》（6下）(1).pdf</t>
        </is>
      </c>
      <c r="B1555" s="2" t="str">
        <f>=HYPERLINK("https://pan.quark.cn/s/51785f408fae", "https://pan.quark.cn/s/51785f408fae")</f>
        <v>https://pan.quark.cn/s/51785f408fae</v>
      </c>
      <c r="C1555" t="inlineStr">
        <is>
          <t>3.7MB</t>
        </is>
      </c>
      <c r="D1555" t="inlineStr">
        <is>
          <t>/单元默写/6年级下册/通关练习/练习册/K12/学龄儿童家长</t>
        </is>
      </c>
      <c r="E1555" t="inlineStr">
        <is>
          <t>https://dcn8qexvg13r.feishu.cn/share/base/query/shrcnMqxwwRkV3NUIUxPeab3sec</t>
        </is>
      </c>
      <c r="F1555" t="inlineStr">
        <is>
          <t>请添加微信：k846211</t>
        </is>
      </c>
      <c r="G1555" t="inlineStr">
        <is>
          <t>2026-02-24</t>
        </is>
      </c>
    </row>
    <row r="1556" ht="25.5" customHeight="1">
      <c r="A1556" t="inlineStr">
        <is>
          <t>10.【猿F导 全国通用视频课程】初中化学</t>
        </is>
      </c>
      <c r="B1556" s="2" t="str">
        <f>=HYPERLINK("https://pan.quark.cn/s/4f324dd4cdeb", "https://pan.quark.cn/s/4f324dd4cdeb")</f>
        <v>https://pan.quark.cn/s/4f324dd4cdeb</v>
      </c>
      <c r="C1556" t="inlineStr">
        <is>
          <t>32.0GB</t>
        </is>
      </c>
      <c r="D1556" t="inlineStr">
        <is>
          <t>/初中化学/视频课程/全国通用/K12/学龄儿童家长</t>
        </is>
      </c>
      <c r="E1556" t="inlineStr">
        <is>
          <t>https://dcn8qexvg13r.feishu.cn/share/base/query/shrcnMqxwwRkV3NUIUxPeab3sec</t>
        </is>
      </c>
      <c r="F1556" t="inlineStr">
        <is>
          <t>请添加微信：k846211</t>
        </is>
      </c>
      <c r="G1556" t="inlineStr">
        <is>
          <t>2026-02-24</t>
        </is>
      </c>
    </row>
    <row r="1557" ht="25.5" customHeight="1">
      <c r="A1557" t="inlineStr">
        <is>
          <t>10.【猿F导 全国通用视频课程】初中英语</t>
        </is>
      </c>
      <c r="B1557" s="2" t="str">
        <f>=HYPERLINK("https://pan.quark.cn/s/46ed9032d6c0", "https://pan.quark.cn/s/46ed9032d6c0")</f>
        <v>https://pan.quark.cn/s/46ed9032d6c0</v>
      </c>
      <c r="C1557" t="inlineStr">
        <is>
          <t>33.8GB</t>
        </is>
      </c>
      <c r="D1557" t="inlineStr">
        <is>
          <t>/初中英语/视频课程/全国通用/K12/学龄儿童家长</t>
        </is>
      </c>
      <c r="E1557" t="inlineStr">
        <is>
          <t>https://dcn8qexvg13r.feishu.cn/share/base/query/shrcnMqxwwRkV3NUIUxPeab3sec</t>
        </is>
      </c>
      <c r="F1557" t="inlineStr">
        <is>
          <t>请添加微信：k846211</t>
        </is>
      </c>
      <c r="G1557" t="inlineStr">
        <is>
          <t>2026-02-24</t>
        </is>
      </c>
    </row>
    <row r="1558" ht="25.5" customHeight="1">
      <c r="A1558" t="inlineStr">
        <is>
          <t>11.【猿F导 全国通用视频课程】初中物理</t>
        </is>
      </c>
      <c r="B1558" s="2" t="str">
        <f>=HYPERLINK("https://pan.quark.cn/s/bb1d9eb16512", "https://pan.quark.cn/s/bb1d9eb16512")</f>
        <v>https://pan.quark.cn/s/bb1d9eb16512</v>
      </c>
      <c r="C1558" t="inlineStr">
        <is>
          <t>27.9GB</t>
        </is>
      </c>
      <c r="D1558" t="inlineStr">
        <is>
          <t>/初中物理/视频课程/全国通用/猿F导/K12/学龄儿童家长</t>
        </is>
      </c>
      <c r="E1558" t="inlineStr">
        <is>
          <t>https://dcn8qexvg13r.feishu.cn/share/base/query/shrcnMqxwwRkV3NUIUxPeab3sec</t>
        </is>
      </c>
      <c r="F1558" t="inlineStr">
        <is>
          <t>请添加微信：k846211</t>
        </is>
      </c>
      <c r="G1558" t="inlineStr">
        <is>
          <t>2026-02-24</t>
        </is>
      </c>
    </row>
    <row r="1559" ht="25.5" customHeight="1">
      <c r="A1559" t="inlineStr">
        <is>
          <t>11.【猿F导 全国通用视频课程】初中语文</t>
        </is>
      </c>
      <c r="B1559" s="2" t="str">
        <f>=HYPERLINK("https://pan.quark.cn/s/d3e08f9fc6ae", "https://pan.quark.cn/s/d3e08f9fc6ae")</f>
        <v>https://pan.quark.cn/s/d3e08f9fc6ae</v>
      </c>
      <c r="C1559" t="inlineStr">
        <is>
          <t>22.2GB</t>
        </is>
      </c>
      <c r="D1559" t="inlineStr">
        <is>
          <t>/初中语文/视频课程/全国通用/K12/学龄儿童家长</t>
        </is>
      </c>
      <c r="E1559" t="inlineStr">
        <is>
          <t>https://dcn8qexvg13r.feishu.cn/share/base/query/shrcnMqxwwRkV3NUIUxPeab3sec</t>
        </is>
      </c>
      <c r="F1559" t="inlineStr">
        <is>
          <t>请添加微信：k846211</t>
        </is>
      </c>
      <c r="G1559" t="inlineStr">
        <is>
          <t>2026-02-24</t>
        </is>
      </c>
    </row>
    <row r="1560" ht="25.5" customHeight="1">
      <c r="A1560" t="inlineStr">
        <is>
          <t>12.【猿F导 全国通用视频课程】初中数学</t>
        </is>
      </c>
      <c r="B1560" s="2" t="str">
        <f>=HYPERLINK("https://pan.quark.cn/s/19dbdd9eb24e", "https://pan.quark.cn/s/19dbdd9eb24e")</f>
        <v>https://pan.quark.cn/s/19dbdd9eb24e</v>
      </c>
      <c r="C1560" t="inlineStr">
        <is>
          <t>18.6GB</t>
        </is>
      </c>
      <c r="D1560" t="inlineStr">
        <is>
          <t>/初中数学/视频课程/全国通用/K12/学龄儿童家长</t>
        </is>
      </c>
      <c r="E1560" t="inlineStr">
        <is>
          <t>https://dcn8qexvg13r.feishu.cn/share/base/query/shrcnMqxwwRkV3NUIUxPeab3sec</t>
        </is>
      </c>
      <c r="F1560" t="inlineStr">
        <is>
          <t>请添加微信：k846211</t>
        </is>
      </c>
      <c r="G1560" t="inlineStr">
        <is>
          <t>2026-02-24</t>
        </is>
      </c>
    </row>
    <row r="1561" ht="25.5" customHeight="1">
      <c r="A1561" t="inlineStr">
        <is>
          <t>高途课堂（语数英）一年级</t>
        </is>
      </c>
      <c r="B1561" s="2" t="str">
        <f>=HYPERLINK("https://pan.quark.cn/s/edaa6a62e42f", "https://pan.quark.cn/s/edaa6a62e42f")</f>
        <v>https://pan.quark.cn/s/edaa6a62e42f</v>
      </c>
      <c r="C1561" t="inlineStr">
        <is>
          <t>260.4GB</t>
        </is>
      </c>
      <c r="D1561" t="inlineStr">
        <is>
          <t>/高途课堂/语数英/一年级/K12/学龄儿童家长</t>
        </is>
      </c>
      <c r="E1561" t="inlineStr">
        <is>
          <t>https://dcn8qexvg13r.feishu.cn/share/base/query/shrcnMqxwwRkV3NUIUxPeab3sec</t>
        </is>
      </c>
      <c r="F1561" t="inlineStr">
        <is>
          <t>请添加微信：k846211</t>
        </is>
      </c>
      <c r="G1561" t="inlineStr">
        <is>
          <t>2026-02-24</t>
        </is>
      </c>
    </row>
    <row r="1562" ht="25.5" customHeight="1">
      <c r="A1562" t="inlineStr">
        <is>
          <t>C茶杯头Cuphead PC+手机</t>
        </is>
      </c>
      <c r="B1562" s="2" t="str">
        <f>=HYPERLINK("https://pan.quark.cn/s/c05e17f72b2d", "https://pan.quark.cn/s/c05e17f72b2d")</f>
        <v>https://pan.quark.cn/s/c05e17f72b2d</v>
      </c>
      <c r="C1562" t="inlineStr">
        <is>
          <t>17.7GB</t>
        </is>
      </c>
      <c r="D1562" t="inlineStr">
        <is>
          <t>/Cuphead/茶杯头/PC游戏/手机游戏/游戏</t>
        </is>
      </c>
      <c r="E1562" t="inlineStr">
        <is>
          <t>https://dcn8qexvg13r.feishu.cn/share/base/query/shrcnMqxwwRkV3NUIUxPeab3sec</t>
        </is>
      </c>
      <c r="F1562" t="inlineStr">
        <is>
          <t>请添加微信：k846211</t>
        </is>
      </c>
      <c r="G1562" t="inlineStr">
        <is>
          <t>2026-02-24</t>
        </is>
      </c>
    </row>
    <row r="1563" ht="25.5" customHeight="1">
      <c r="A1563" t="inlineStr">
        <is>
          <t>C超级鸡马</t>
        </is>
      </c>
      <c r="B1563" s="2" t="str">
        <f>=HYPERLINK("https://pan.quark.cn/s/79b2b4cfee85", "https://pan.quark.cn/s/79b2b4cfee85")</f>
        <v>https://pan.quark.cn/s/79b2b4cfee85</v>
      </c>
      <c r="C1563" t="inlineStr">
        <is>
          <t>0B</t>
        </is>
      </c>
      <c r="D1563" t="inlineStr">
        <is>
          <t>/超级鸡马/游戏/多人互动/娱乐休闲/游戏</t>
        </is>
      </c>
      <c r="E1563" t="inlineStr">
        <is>
          <t>https://dcn8qexvg13r.feishu.cn/share/base/query/shrcnMqxwwRkV3NUIUxPeab3sec</t>
        </is>
      </c>
      <c r="F1563" t="inlineStr">
        <is>
          <t>请添加微信：k846211</t>
        </is>
      </c>
      <c r="G1563" t="inlineStr">
        <is>
          <t>2026-02-24</t>
        </is>
      </c>
    </row>
    <row r="1564" ht="25.5" customHeight="1">
      <c r="A1564" t="inlineStr">
        <is>
          <t>C超级兔子人 PC+手机</t>
        </is>
      </c>
      <c r="B1564" s="2" t="str">
        <f>=HYPERLINK("https://pan.quark.cn/s/03a49e8a22e5", "https://pan.quark.cn/s/03a49e8a22e5")</f>
        <v>https://pan.quark.cn/s/03a49e8a22e5</v>
      </c>
      <c r="C1564" t="inlineStr">
        <is>
          <t>255.2MB</t>
        </is>
      </c>
      <c r="D1564" t="inlineStr">
        <is>
          <t>/超级兔子人/PC/手机/游戏/游戏</t>
        </is>
      </c>
      <c r="E1564" t="inlineStr">
        <is>
          <t>https://dcn8qexvg13r.feishu.cn/share/base/query/shrcnMqxwwRkV3NUIUxPeab3sec</t>
        </is>
      </c>
      <c r="F1564" t="inlineStr">
        <is>
          <t>请添加微信：k846211</t>
        </is>
      </c>
      <c r="G1564" t="inlineStr">
        <is>
          <t>2026-02-24</t>
        </is>
      </c>
    </row>
    <row r="1565" ht="25.5" customHeight="1">
      <c r="A1565" t="inlineStr">
        <is>
          <t>C超市模拟器 PC+手机</t>
        </is>
      </c>
      <c r="B1565" s="2" t="str">
        <f>=HYPERLINK("https://pan.quark.cn/s/4579e7f25edf", "https://pan.quark.cn/s/4579e7f25edf")</f>
        <v>https://pan.quark.cn/s/4579e7f25edf</v>
      </c>
      <c r="C1565" t="inlineStr">
        <is>
          <t>0B</t>
        </is>
      </c>
      <c r="D1565" t="inlineStr">
        <is>
          <t>/超市模拟器/PC/手机/游戏/游戏</t>
        </is>
      </c>
      <c r="E1565" t="inlineStr">
        <is>
          <t>https://dcn8qexvg13r.feishu.cn/share/base/query/shrcnMqxwwRkV3NUIUxPeab3sec</t>
        </is>
      </c>
      <c r="F1565" t="inlineStr">
        <is>
          <t>请添加微信：k846211</t>
        </is>
      </c>
      <c r="G1565" t="inlineStr">
        <is>
          <t>2026-02-24</t>
        </is>
      </c>
    </row>
    <row r="1566" ht="25.5" customHeight="1">
      <c r="A1566" t="inlineStr">
        <is>
          <t>尘封大陆 单机+联机</t>
        </is>
      </c>
      <c r="B1566" s="2" t="str">
        <f>=HYPERLINK("https://pan.quark.cn/s/372374f5091a", "https://pan.quark.cn/s/372374f5091a")</f>
        <v>https://pan.quark.cn/s/372374f5091a</v>
      </c>
      <c r="C1566" t="inlineStr">
        <is>
          <t>22.1GB</t>
        </is>
      </c>
      <c r="D1566" t="inlineStr">
        <is>
          <t>/尘封大陆/单机游戏/联机游戏/游戏/游戏</t>
        </is>
      </c>
      <c r="E1566" t="inlineStr">
        <is>
          <t>https://dcn8qexvg13r.feishu.cn/share/base/query/shrcnMqxwwRkV3NUIUxPeab3sec</t>
        </is>
      </c>
      <c r="F1566" t="inlineStr">
        <is>
          <t>请添加微信：k846211</t>
        </is>
      </c>
      <c r="G1566" t="inlineStr">
        <is>
          <t>2026-02-24</t>
        </is>
      </c>
    </row>
    <row r="1567" ht="25.5" customHeight="1">
      <c r="A1567" t="inlineStr">
        <is>
          <t>彩虹六号：迷你</t>
        </is>
      </c>
      <c r="B1567" s="2" t="str">
        <f>=HYPERLINK("https://pan.quark.cn/s/5ddfd0b808b3", "https://pan.quark.cn/s/5ddfd0b808b3")</f>
        <v>https://pan.quark.cn/s/5ddfd0b808b3</v>
      </c>
      <c r="C1567" t="inlineStr">
        <is>
          <t>231.8MB</t>
        </is>
      </c>
      <c r="D1567" t="inlineStr">
        <is>
          <t>/彩虹六号/迷你/游戏/游戏玩家/游戏</t>
        </is>
      </c>
      <c r="E1567" t="inlineStr">
        <is>
          <t>https://dcn8qexvg13r.feishu.cn/share/base/query/shrcnMqxwwRkV3NUIUxPeab3sec</t>
        </is>
      </c>
      <c r="F1567" t="inlineStr">
        <is>
          <t>请添加微信：k846211</t>
        </is>
      </c>
      <c r="G1567" t="inlineStr">
        <is>
          <t>2026-02-24</t>
        </is>
      </c>
    </row>
    <row r="1568" ht="25.5" customHeight="1">
      <c r="A1568" t="inlineStr">
        <is>
          <t>超级马里奥 26作品 合集</t>
        </is>
      </c>
      <c r="B1568" s="2" t="str">
        <f>=HYPERLINK("https://pan.quark.cn/s/e31ecb4b0daf", "https://pan.quark.cn/s/e31ecb4b0daf")</f>
        <v>https://pan.quark.cn/s/e31ecb4b0daf</v>
      </c>
      <c r="C1568" t="inlineStr">
        <is>
          <t>141.4GB</t>
        </is>
      </c>
      <c r="D1568" t="inlineStr">
        <is>
          <t>/超级马里奥/游戏合集/经典游戏/游戏作品/游戏</t>
        </is>
      </c>
      <c r="E1568" t="inlineStr">
        <is>
          <t>https://dcn8qexvg13r.feishu.cn/share/base/query/shrcnMqxwwRkV3NUIUxPeab3sec</t>
        </is>
      </c>
      <c r="F1568" t="inlineStr">
        <is>
          <t>请添加微信：k846211</t>
        </is>
      </c>
      <c r="G1568" t="inlineStr">
        <is>
          <t>2026-02-24</t>
        </is>
      </c>
    </row>
    <row r="1569" ht="25.5" customHeight="1">
      <c r="A1569" t="inlineStr">
        <is>
          <t>刺客信条4：黑旗</t>
        </is>
      </c>
      <c r="B1569" s="2" t="str">
        <f>=HYPERLINK("https://pan.quark.cn/s/57646b10beab", "https://pan.quark.cn/s/57646b10beab")</f>
        <v>https://pan.quark.cn/s/57646b10beab</v>
      </c>
      <c r="C1569" t="inlineStr">
        <is>
          <t>13.5GB</t>
        </is>
      </c>
      <c r="D1569" t="inlineStr">
        <is>
          <t>/刺客信条/黑旗/动作冒险/开放世界/游戏</t>
        </is>
      </c>
      <c r="E1569" t="inlineStr">
        <is>
          <t>https://dcn8qexvg13r.feishu.cn/share/base/query/shrcnMqxwwRkV3NUIUxPeab3sec</t>
        </is>
      </c>
      <c r="F1569" t="inlineStr">
        <is>
          <t>请添加微信：k846211</t>
        </is>
      </c>
      <c r="G1569" t="inlineStr">
        <is>
          <t>2026-02-24</t>
        </is>
      </c>
    </row>
    <row r="1570" ht="25.5" customHeight="1">
      <c r="A1570" t="inlineStr">
        <is>
          <t>沉没之地 单机+联机 v0.2.01</t>
        </is>
      </c>
      <c r="B1570" s="2" t="str">
        <f>=HYPERLINK("https://pan.quark.cn/s/d09ff496104d", "https://pan.quark.cn/s/d09ff496104d")</f>
        <v>https://pan.quark.cn/s/d09ff496104d</v>
      </c>
      <c r="C1570" t="inlineStr">
        <is>
          <t>2.8GB</t>
        </is>
      </c>
      <c r="D1570" t="inlineStr">
        <is>
          <t>/沉没之地/单机游戏/联机游戏/游戏/游戏</t>
        </is>
      </c>
      <c r="E1570" t="inlineStr">
        <is>
          <t>https://dcn8qexvg13r.feishu.cn/share/base/query/shrcnMqxwwRkV3NUIUxPeab3sec</t>
        </is>
      </c>
      <c r="F1570" t="inlineStr">
        <is>
          <t>请添加微信：k846211</t>
        </is>
      </c>
      <c r="G1570" t="inlineStr">
        <is>
          <t>2026-02-24</t>
        </is>
      </c>
    </row>
    <row r="1571" ht="25.5" customHeight="1">
      <c r="A1571" t="inlineStr">
        <is>
          <t>传送门2</t>
        </is>
      </c>
      <c r="B1571" s="2" t="str">
        <f>=HYPERLINK("https://pan.quark.cn/s/538e35a86cfd", "https://pan.quark.cn/s/538e35a86cfd")</f>
        <v>https://pan.quark.cn/s/538e35a86cfd</v>
      </c>
      <c r="C1571" t="inlineStr">
        <is>
          <t>9.1GB</t>
        </is>
      </c>
      <c r="D1571" t="inlineStr">
        <is>
          <t>/传送门/解谜/科幻/游戏/游戏</t>
        </is>
      </c>
      <c r="E1571" t="inlineStr">
        <is>
          <t>https://dcn8qexvg13r.feishu.cn/share/base/query/shrcnMqxwwRkV3NUIUxPeab3sec</t>
        </is>
      </c>
      <c r="F1571" t="inlineStr">
        <is>
          <t>请添加微信：k846211</t>
        </is>
      </c>
      <c r="G1571" t="inlineStr">
        <is>
          <t>2026-02-24</t>
        </is>
      </c>
    </row>
    <row r="1572" ht="25.5" customHeight="1">
      <c r="A1572" t="inlineStr">
        <is>
          <t>苍翼混沌效应端游 v1.0.6.118163 全DLC xg器</t>
        </is>
      </c>
      <c r="B1572" s="2" t="str">
        <f>=HYPERLINK("https://pan.quark.cn/s/ceb25c44a89d", "https://pan.quark.cn/s/ceb25c44a89d")</f>
        <v>https://pan.quark.cn/s/ceb25c44a89d</v>
      </c>
      <c r="C1572" t="inlineStr">
        <is>
          <t>26.5GB</t>
        </is>
      </c>
      <c r="D1572" t="inlineStr">
        <is>
          <t>/苍翼混沌效应/端游/DLC/游戏</t>
        </is>
      </c>
      <c r="E1572" t="inlineStr">
        <is>
          <t>https://dcn8qexvg13r.feishu.cn/share/base/query/shrcnMqxwwRkV3NUIUxPeab3sec</t>
        </is>
      </c>
      <c r="F1572" t="inlineStr">
        <is>
          <t>请添加微信：k846211</t>
        </is>
      </c>
      <c r="G1572" t="inlineStr">
        <is>
          <t>2026-02-24</t>
        </is>
      </c>
    </row>
    <row r="1573" ht="25.5" customHeight="1">
      <c r="A1573" t="inlineStr">
        <is>
          <t>苍翼混沌效应手游106.apk</t>
        </is>
      </c>
      <c r="B1573" s="2" t="str">
        <f>=HYPERLINK("https://pan.quark.cn/s/1d96b0fcfb1b", "https://pan.quark.cn/s/1d96b0fcfb1b")</f>
        <v>https://pan.quark.cn/s/1d96b0fcfb1b</v>
      </c>
      <c r="C1573" t="inlineStr">
        <is>
          <t>3.7GB</t>
        </is>
      </c>
      <c r="D1573" t="inlineStr">
        <is>
          <t>/苍翼混沌效应/手游/游戏安装包/游戏/游戏</t>
        </is>
      </c>
      <c r="E1573" t="inlineStr">
        <is>
          <t>https://dcn8qexvg13r.feishu.cn/share/base/query/shrcnMqxwwRkV3NUIUxPeab3sec</t>
        </is>
      </c>
      <c r="F1573" t="inlineStr">
        <is>
          <t>请添加微信：k846211</t>
        </is>
      </c>
      <c r="G1573" t="inlineStr">
        <is>
          <t>2026-02-24</t>
        </is>
      </c>
    </row>
    <row r="1574" ht="25.5" customHeight="1">
      <c r="A1574" t="inlineStr">
        <is>
          <t>comfyui安装包</t>
        </is>
      </c>
      <c r="B1574" s="2" t="str">
        <f>=HYPERLINK("https://pan.quark.cn/s/edf5bfee3cc2", "https://pan.quark.cn/s/edf5bfee3cc2")</f>
        <v>https://pan.quark.cn/s/edf5bfee3cc2</v>
      </c>
      <c r="C1574" t="inlineStr">
        <is>
          <t>1.1TB</t>
        </is>
      </c>
      <c r="D1574" t="inlineStr">
        <is>
          <t>/comfyui/安装包/AI绘画工具/编程/编程</t>
        </is>
      </c>
      <c r="E1574" t="inlineStr">
        <is>
          <t>https://dcn8qexvg13r.feishu.cn/share/base/query/shrcnMqxwwRkV3NUIUxPeab3sec</t>
        </is>
      </c>
      <c r="F1574" t="inlineStr">
        <is>
          <t>请添加微信：k846211</t>
        </is>
      </c>
      <c r="G1574" t="inlineStr">
        <is>
          <t>2026-02-24</t>
        </is>
      </c>
    </row>
    <row r="1575" ht="25.5" customHeight="1">
      <c r="A1575" t="inlineStr">
        <is>
          <t>Stablediffusion最新安装包</t>
        </is>
      </c>
      <c r="B1575" s="2" t="str">
        <f>=HYPERLINK("https://pan.quark.cn/s/47af0b64539b", "https://pan.quark.cn/s/47af0b64539b")</f>
        <v>https://pan.quark.cn/s/47af0b64539b</v>
      </c>
      <c r="C1575" t="inlineStr">
        <is>
          <t>67.3GB</t>
        </is>
      </c>
      <c r="D1575" t="inlineStr">
        <is>
          <t>/Stablediffusion/安装包/AI绘画/设计工具/特定行业从业者/设计素材</t>
        </is>
      </c>
      <c r="E1575" t="inlineStr">
        <is>
          <t>https://dcn8qexvg13r.feishu.cn/share/base/query/shrcnMqxwwRkV3NUIUxPeab3sec</t>
        </is>
      </c>
      <c r="F1575" t="inlineStr">
        <is>
          <t>请添加微信：k846211</t>
        </is>
      </c>
      <c r="G1575" t="inlineStr">
        <is>
          <t>2026-02-24</t>
        </is>
      </c>
    </row>
    <row r="1576" ht="25.5" customHeight="1">
      <c r="A1576" t="inlineStr">
        <is>
          <t>SD+MJ提示词</t>
        </is>
      </c>
      <c r="B1576" s="2" t="str">
        <f>=HYPERLINK("https://pan.quark.cn/s/60c21518bbf8", "https://pan.quark.cn/s/60c21518bbf8")</f>
        <v>https://pan.quark.cn/s/60c21518bbf8</v>
      </c>
      <c r="C1576" t="inlineStr">
        <is>
          <t>4.8GB</t>
        </is>
      </c>
      <c r="D1576" t="inlineStr">
        <is>
          <t>/提示词/SD/MJ/设计工具/设计素材/特定行业从业者</t>
        </is>
      </c>
      <c r="E1576" t="inlineStr">
        <is>
          <t>https://dcn8qexvg13r.feishu.cn/share/base/query/shrcnMqxwwRkV3NUIUxPeab3sec</t>
        </is>
      </c>
      <c r="F1576" t="inlineStr">
        <is>
          <t>请添加微信：k846211</t>
        </is>
      </c>
      <c r="G1576" t="inlineStr">
        <is>
          <t>2026-02-24</t>
        </is>
      </c>
    </row>
    <row r="1577" ht="25.5" customHeight="1">
      <c r="A1577" t="inlineStr">
        <is>
          <t>Stable Diffusion全套插件</t>
        </is>
      </c>
      <c r="B1577" s="2" t="str">
        <f>=HYPERLINK("https://pan.quark.cn/s/d90febcaafce", "https://pan.quark.cn/s/d90febcaafce")</f>
        <v>https://pan.quark.cn/s/d90febcaafce</v>
      </c>
      <c r="C1577" t="inlineStr">
        <is>
          <t>52.2GB</t>
        </is>
      </c>
      <c r="D1577" t="inlineStr">
        <is>
          <t>/Stable Diffusion/插件/AI绘画/图像生成/设计素材</t>
        </is>
      </c>
      <c r="E1577" t="inlineStr">
        <is>
          <t>https://dcn8qexvg13r.feishu.cn/share/base/query/shrcnMqxwwRkV3NUIUxPeab3sec</t>
        </is>
      </c>
      <c r="F1577" t="inlineStr">
        <is>
          <t>请添加微信：k846211</t>
        </is>
      </c>
      <c r="G1577" t="inlineStr">
        <is>
          <t>2026-02-24</t>
        </is>
      </c>
    </row>
    <row r="1578" ht="25.5" customHeight="1">
      <c r="A1578" t="inlineStr">
        <is>
          <t>模型整合包</t>
        </is>
      </c>
      <c r="B1578" s="2" t="str">
        <f>=HYPERLINK("https://pan.quark.cn/s/ef7cece5542e", "https://pan.quark.cn/s/ef7cece5542e")</f>
        <v>https://pan.quark.cn/s/ef7cece5542e</v>
      </c>
      <c r="C1578" t="inlineStr">
        <is>
          <t>3.0TB</t>
        </is>
      </c>
      <c r="D1578" t="inlineStr">
        <is>
          <t>/模型/整合/工具包/资源整合/特定行业从业者/技能入门</t>
        </is>
      </c>
      <c r="E1578" t="inlineStr">
        <is>
          <t>https://dcn8qexvg13r.feishu.cn/share/base/query/shrcnMqxwwRkV3NUIUxPeab3sec</t>
        </is>
      </c>
      <c r="F1578" t="inlineStr">
        <is>
          <t>请添加微信：k846211</t>
        </is>
      </c>
      <c r="G1578" t="inlineStr">
        <is>
          <t>2026-02-24</t>
        </is>
      </c>
    </row>
    <row r="1579" ht="25.5" customHeight="1">
      <c r="A1579" t="inlineStr">
        <is>
          <t>Confyui全套工作流</t>
        </is>
      </c>
      <c r="B1579" s="2" t="str">
        <f>=HYPERLINK("https://pan.quark.cn/s/d40768d72a69", "https://pan.quark.cn/s/d40768d72a69")</f>
        <v>https://pan.quark.cn/s/d40768d72a69</v>
      </c>
      <c r="C1579" t="inlineStr">
        <is>
          <t>1.0TB</t>
        </is>
      </c>
      <c r="D1579" t="inlineStr">
        <is>
          <t>/工作流/全套/Confyui/技能入门/设计素材</t>
        </is>
      </c>
      <c r="E1579" t="inlineStr">
        <is>
          <t>https://dcn8qexvg13r.feishu.cn/share/base/query/shrcnMqxwwRkV3NUIUxPeab3sec</t>
        </is>
      </c>
      <c r="F1579" t="inlineStr">
        <is>
          <t>请添加微信：k846211</t>
        </is>
      </c>
      <c r="G1579" t="inlineStr">
        <is>
          <t>2026-02-24</t>
        </is>
      </c>
    </row>
    <row r="1580" ht="25.5" customHeight="1">
      <c r="A1580" t="inlineStr">
        <is>
          <t>整合包大全</t>
        </is>
      </c>
      <c r="B1580" s="2" t="str">
        <f>=HYPERLINK("https://pan.quark.cn/s/f2e97b328b34", "https://pan.quark.cn/s/f2e97b328b34")</f>
        <v>https://pan.quark.cn/s/f2e97b328b34</v>
      </c>
      <c r="C1580" t="inlineStr">
        <is>
          <t>957.5GB</t>
        </is>
      </c>
      <c r="D1580" t="inlineStr">
        <is>
          <t>/整合包/资源汇总/资源分类/资源检索/其他</t>
        </is>
      </c>
      <c r="E1580" t="inlineStr">
        <is>
          <t>https://dcn8qexvg13r.feishu.cn/share/base/query/shrcnMqxwwRkV3NUIUxPeab3sec</t>
        </is>
      </c>
      <c r="F1580" t="inlineStr">
        <is>
          <t>请添加微信：k846211</t>
        </is>
      </c>
      <c r="G1580" t="inlineStr">
        <is>
          <t>2026-02-24</t>
        </is>
      </c>
    </row>
    <row r="1581" ht="25.5" customHeight="1">
      <c r="A1581" t="inlineStr">
        <is>
          <t>白话佛经132册</t>
        </is>
      </c>
      <c r="B1581" s="2" t="str">
        <f>=HYPERLINK("https://pan.quark.cn/s/0259b9fcf777", "https://pan.quark.cn/s/0259b9fcf777")</f>
        <v>https://pan.quark.cn/s/0259b9fcf777</v>
      </c>
      <c r="C1581" t="inlineStr">
        <is>
          <t>7.1GB</t>
        </is>
      </c>
      <c r="D1581" t="inlineStr">
        <is>
          <t>/佛经/白话/佛教文化/宗教典籍/其他</t>
        </is>
      </c>
      <c r="E1581" t="inlineStr">
        <is>
          <t>https://dcn8qexvg13r.feishu.cn/share/base/query/shrcnMqxwwRkV3NUIUxPeab3sec</t>
        </is>
      </c>
      <c r="F1581" t="inlineStr">
        <is>
          <t>请添加微信：k846211</t>
        </is>
      </c>
      <c r="G1581" t="inlineStr">
        <is>
          <t>2026-02-24</t>
        </is>
      </c>
    </row>
    <row r="1582" ht="25.5" customHeight="1">
      <c r="A1582" t="inlineStr">
        <is>
          <t>維摩詰所說經</t>
        </is>
      </c>
      <c r="B1582" s="2" t="str">
        <f>=HYPERLINK("https://pan.quark.cn/s/8224a8fc218c", "https://pan.quark.cn/s/8224a8fc218c")</f>
        <v>https://pan.quark.cn/s/8224a8fc218c</v>
      </c>
      <c r="C1582" t="inlineStr">
        <is>
          <t>36.3GB</t>
        </is>
      </c>
      <c r="D1582" t="inlineStr">
        <is>
          <t>/佛教经典/维摩诘经/大乘佛教/哲学思想/其他</t>
        </is>
      </c>
      <c r="E1582" t="inlineStr">
        <is>
          <t>https://dcn8qexvg13r.feishu.cn/share/base/query/shrcnMqxwwRkV3NUIUxPeab3sec</t>
        </is>
      </c>
      <c r="F1582" t="inlineStr">
        <is>
          <t>请添加微信：k846211</t>
        </is>
      </c>
      <c r="G1582" t="inlineStr">
        <is>
          <t>2026-02-24</t>
        </is>
      </c>
    </row>
    <row r="1583" ht="25.5" customHeight="1">
      <c r="A1583" t="inlineStr">
        <is>
          <t>文殊菩薩問疾品 (共五品)</t>
        </is>
      </c>
      <c r="B1583" s="2" t="str">
        <f>=HYPERLINK("https://pan.quark.cn/s/a1b35c5e46f9", "https://pan.quark.cn/s/a1b35c5e46f9")</f>
        <v>https://pan.quark.cn/s/a1b35c5e46f9</v>
      </c>
      <c r="C1583" t="inlineStr">
        <is>
          <t>2.2GB</t>
        </is>
      </c>
      <c r="D1583" t="inlineStr">
        <is>
          <t>/文殊菩萨/问疾品/佛教经典/佛法义理/其他</t>
        </is>
      </c>
      <c r="E1583" t="inlineStr">
        <is>
          <t>https://dcn8qexvg13r.feishu.cn/share/base/query/shrcnMqxwwRkV3NUIUxPeab3sec</t>
        </is>
      </c>
      <c r="F1583" t="inlineStr">
        <is>
          <t>请添加微信：k846211</t>
        </is>
      </c>
      <c r="G1583" t="inlineStr">
        <is>
          <t>2026-02-24</t>
        </is>
      </c>
    </row>
    <row r="1584" ht="25.5" customHeight="1">
      <c r="A1584" t="inlineStr">
        <is>
          <t>賢首禪苑 體佛法師 大乘離文字普光明藏經</t>
        </is>
      </c>
      <c r="B1584" s="2" t="str">
        <f>=HYPERLINK("https://pan.quark.cn/s/fe3830407eb2", "https://pan.quark.cn/s/fe3830407eb2")</f>
        <v>https://pan.quark.cn/s/fe3830407eb2</v>
      </c>
      <c r="C1584" t="inlineStr">
        <is>
          <t>8.3GB</t>
        </is>
      </c>
      <c r="D1584" t="inlineStr">
        <is>
          <t>/大乘离文字普光明藏经/贤首禅苑/体佛法师/佛教经典/其他</t>
        </is>
      </c>
      <c r="E1584" t="inlineStr">
        <is>
          <t>https://dcn8qexvg13r.feishu.cn/share/base/query/shrcnMqxwwRkV3NUIUxPeab3sec</t>
        </is>
      </c>
      <c r="F1584" t="inlineStr">
        <is>
          <t>请添加微信：k846211</t>
        </is>
      </c>
      <c r="G1584" t="inlineStr">
        <is>
          <t>2026-02-24</t>
        </is>
      </c>
    </row>
    <row r="1585" ht="25.5" customHeight="1">
      <c r="A1585" t="inlineStr">
        <is>
          <t>金刚经</t>
        </is>
      </c>
      <c r="B1585" s="2" t="str">
        <f>=HYPERLINK("https://pan.quark.cn/s/5cc2e7d393ff", "https://pan.quark.cn/s/5cc2e7d393ff")</f>
        <v>https://pan.quark.cn/s/5cc2e7d393ff</v>
      </c>
      <c r="C1585" t="inlineStr">
        <is>
          <t>6.3GB</t>
        </is>
      </c>
      <c r="D1585" t="inlineStr">
        <is>
          <t>/佛教经典/般若思想/哲学智慧/宗教典籍/其他</t>
        </is>
      </c>
      <c r="E1585" t="inlineStr">
        <is>
          <t>https://dcn8qexvg13r.feishu.cn/share/base/query/shrcnMqxwwRkV3NUIUxPeab3sec</t>
        </is>
      </c>
      <c r="F1585" t="inlineStr">
        <is>
          <t>请添加微信：k846211</t>
        </is>
      </c>
      <c r="G1585" t="inlineStr">
        <is>
          <t>2026-02-24</t>
        </is>
      </c>
    </row>
    <row r="1586" ht="25.5" customHeight="1">
      <c r="A1586" t="inlineStr">
        <is>
          <t>9.六祖坛经</t>
        </is>
      </c>
      <c r="B1586" s="2" t="str">
        <f>=HYPERLINK("https://pan.quark.cn/s/85c2e98f30fb", "https://pan.quark.cn/s/85c2e98f30fb")</f>
        <v>https://pan.quark.cn/s/85c2e98f30fb</v>
      </c>
      <c r="C1586" t="inlineStr">
        <is>
          <t>60.2GB</t>
        </is>
      </c>
      <c r="D1586" t="inlineStr">
        <is>
          <t>/六祖坛经/佛教经典/禅宗思想/哲学宗教/其他</t>
        </is>
      </c>
      <c r="E1586" t="inlineStr">
        <is>
          <t>https://dcn8qexvg13r.feishu.cn/share/base/query/shrcnMqxwwRkV3NUIUxPeab3sec</t>
        </is>
      </c>
      <c r="F1586" t="inlineStr">
        <is>
          <t>请添加微信：k846211</t>
        </is>
      </c>
      <c r="G1586" t="inlineStr">
        <is>
          <t>2026-02-24</t>
        </is>
      </c>
    </row>
    <row r="1587" ht="25.5" customHeight="1">
      <c r="A1587" t="inlineStr">
        <is>
          <t>7.圆觉经(36集)33G</t>
        </is>
      </c>
      <c r="B1587" s="2" t="str">
        <f>=HYPERLINK("https://pan.quark.cn/s/79819c51e5ad", "https://pan.quark.cn/s/79819c51e5ad")</f>
        <v>https://pan.quark.cn/s/79819c51e5ad</v>
      </c>
      <c r="C1587" t="inlineStr">
        <is>
          <t>32.7GB</t>
        </is>
      </c>
      <c r="D1587" t="inlineStr">
        <is>
          <t>/圆觉经/佛教经典/宗教学习/36集/其他</t>
        </is>
      </c>
      <c r="E1587" t="inlineStr">
        <is>
          <t>https://dcn8qexvg13r.feishu.cn/share/base/query/shrcnMqxwwRkV3NUIUxPeab3sec</t>
        </is>
      </c>
      <c r="F1587" t="inlineStr">
        <is>
          <t>请添加微信：k846211</t>
        </is>
      </c>
      <c r="G1587" t="inlineStr">
        <is>
          <t>2026-02-24</t>
        </is>
      </c>
    </row>
    <row r="1588" ht="25.5" customHeight="1">
      <c r="A1588" t="inlineStr">
        <is>
          <t>1.妄尽还源观（共36集）28.8G</t>
        </is>
      </c>
      <c r="B1588" s="2" t="str">
        <f>=HYPERLINK("https://pan.quark.cn/s/f9b6754e6e33", "https://pan.quark.cn/s/f9b6754e6e33")</f>
        <v>https://pan.quark.cn/s/f9b6754e6e33</v>
      </c>
      <c r="C1588" t="inlineStr">
        <is>
          <t>28.8GB</t>
        </is>
      </c>
      <c r="D1588" t="inlineStr">
        <is>
          <t>/妄尽还源观/佛教典籍/哲学思想/传统文化/其他</t>
        </is>
      </c>
      <c r="E1588" t="inlineStr">
        <is>
          <t>https://dcn8qexvg13r.feishu.cn/share/base/query/shrcnMqxwwRkV3NUIUxPeab3sec</t>
        </is>
      </c>
      <c r="F1588" t="inlineStr">
        <is>
          <t>请添加微信：k846211</t>
        </is>
      </c>
      <c r="G1588" t="inlineStr">
        <is>
          <t>2026-02-24</t>
        </is>
      </c>
    </row>
    <row r="1589" ht="25.5" customHeight="1">
      <c r="A1589" t="inlineStr">
        <is>
          <t>6.佛说阿弥陀经（共11集）9.5G</t>
        </is>
      </c>
      <c r="B1589" s="2" t="str">
        <f>=HYPERLINK("https://pan.quark.cn/s/633ece0c033f", "https://pan.quark.cn/s/633ece0c033f")</f>
        <v>https://pan.quark.cn/s/633ece0c033f</v>
      </c>
      <c r="C1589" t="inlineStr">
        <is>
          <t>9.5GB</t>
        </is>
      </c>
      <c r="D1589" t="inlineStr">
        <is>
          <t>/佛说阿弥陀经/佛教经典/宗教/其他</t>
        </is>
      </c>
      <c r="E1589" t="inlineStr">
        <is>
          <t>https://dcn8qexvg13r.feishu.cn/share/base/query/shrcnMqxwwRkV3NUIUxPeab3sec</t>
        </is>
      </c>
      <c r="F1589" t="inlineStr">
        <is>
          <t>请添加微信：k846211</t>
        </is>
      </c>
      <c r="G1589" t="inlineStr">
        <is>
          <t>2026-02-24</t>
        </is>
      </c>
    </row>
    <row r="1590" ht="25.5" customHeight="1">
      <c r="A1590" t="inlineStr">
        <is>
          <t>4.太上清净经(共3集)1.2G</t>
        </is>
      </c>
      <c r="B1590" s="2" t="str">
        <f>=HYPERLINK("https://pan.quark.cn/s/7a0ac19be48a", "https://pan.quark.cn/s/7a0ac19be48a")</f>
        <v>https://pan.quark.cn/s/7a0ac19be48a</v>
      </c>
      <c r="C1590" t="inlineStr">
        <is>
          <t>1.2GB</t>
        </is>
      </c>
      <c r="D1590" t="inlineStr">
        <is>
          <t>/太上清净经/道教经典/经文解读/佛教道教/其他</t>
        </is>
      </c>
      <c r="E1590" t="inlineStr">
        <is>
          <t>https://dcn8qexvg13r.feishu.cn/share/base/query/shrcnMqxwwRkV3NUIUxPeab3sec</t>
        </is>
      </c>
      <c r="F1590" t="inlineStr">
        <is>
          <t>请添加微信：k846211</t>
        </is>
      </c>
      <c r="G1590" t="inlineStr">
        <is>
          <t>2026-02-24</t>
        </is>
      </c>
    </row>
    <row r="1591" ht="25.5" customHeight="1">
      <c r="A1591" t="inlineStr">
        <is>
          <t>3.心经(共5集)5.6G</t>
        </is>
      </c>
      <c r="B1591" s="2" t="str">
        <f>=HYPERLINK("https://pan.quark.cn/s/6c45b104a303", "https://pan.quark.cn/s/6c45b104a303")</f>
        <v>https://pan.quark.cn/s/6c45b104a303</v>
      </c>
      <c r="C1591" t="inlineStr">
        <is>
          <t>5.6GB</t>
        </is>
      </c>
      <c r="D1591" t="inlineStr">
        <is>
          <t>/心经/佛教/宗教/讲座/其他</t>
        </is>
      </c>
      <c r="E1591" t="inlineStr">
        <is>
          <t>https://dcn8qexvg13r.feishu.cn/share/base/query/shrcnMqxwwRkV3NUIUxPeab3sec</t>
        </is>
      </c>
      <c r="F1591" t="inlineStr">
        <is>
          <t>请添加微信：k846211</t>
        </is>
      </c>
      <c r="G1591" t="inlineStr">
        <is>
          <t>2026-02-24</t>
        </is>
      </c>
    </row>
    <row r="1592" ht="25.5" customHeight="1">
      <c r="A1592" t="inlineStr">
        <is>
          <t>2.达摩大师血脉论（共18集）6.5G</t>
        </is>
      </c>
      <c r="B1592" s="2" t="str">
        <f>=HYPERLINK("https://pan.quark.cn/s/48c4b68ef71f", "https://pan.quark.cn/s/48c4b68ef71f")</f>
        <v>https://pan.quark.cn/s/48c4b68ef71f</v>
      </c>
      <c r="C1592" t="inlineStr">
        <is>
          <t>6.5GB</t>
        </is>
      </c>
      <c r="D1592" t="inlineStr">
        <is>
          <t>/达摩大师/血脉论/佛教/讲座/其他</t>
        </is>
      </c>
      <c r="E1592" t="inlineStr">
        <is>
          <t>https://dcn8qexvg13r.feishu.cn/share/base/query/shrcnMqxwwRkV3NUIUxPeab3sec</t>
        </is>
      </c>
      <c r="F1592" t="inlineStr">
        <is>
          <t>请添加微信：k846211</t>
        </is>
      </c>
      <c r="G1592" t="inlineStr">
        <is>
          <t>2026-02-24</t>
        </is>
      </c>
    </row>
    <row r="1593" ht="25.5" customHeight="1">
      <c r="A1593" t="inlineStr">
        <is>
          <t>5.达摩大师四行观（共2集）0.7G</t>
        </is>
      </c>
      <c r="B1593" s="2" t="str">
        <f>=HYPERLINK("https://pan.quark.cn/s/a733ce0d3477", "https://pan.quark.cn/s/a733ce0d3477")</f>
        <v>https://pan.quark.cn/s/a733ce0d3477</v>
      </c>
      <c r="C1593" t="inlineStr">
        <is>
          <t>726.6MB</t>
        </is>
      </c>
      <c r="D1593" t="inlineStr">
        <is>
          <t>/达摩大师/四行观/佛教/修行/其他</t>
        </is>
      </c>
      <c r="E1593" t="inlineStr">
        <is>
          <t>https://dcn8qexvg13r.feishu.cn/share/base/query/shrcnMqxwwRkV3NUIUxPeab3sec</t>
        </is>
      </c>
      <c r="F1593" t="inlineStr">
        <is>
          <t>请添加微信：k846211</t>
        </is>
      </c>
      <c r="G1593" t="inlineStr">
        <is>
          <t>2026-02-24</t>
        </is>
      </c>
    </row>
    <row r="1594" ht="25.5" customHeight="1">
      <c r="A1594" t="inlineStr">
        <is>
          <t>0.音频16.9G</t>
        </is>
      </c>
      <c r="B1594" s="2" t="str">
        <f>=HYPERLINK("https://pan.quark.cn/s/42ad2b2fec7c", "https://pan.quark.cn/s/42ad2b2fec7c")</f>
        <v>https://pan.quark.cn/s/42ad2b2fec7c</v>
      </c>
      <c r="C1594" t="inlineStr">
        <is>
          <t>16.9GB</t>
        </is>
      </c>
      <c r="D1594" t="inlineStr">
        <is>
          <t>/音频/大容量/音乐迷/其他</t>
        </is>
      </c>
      <c r="E1594" t="inlineStr">
        <is>
          <t>https://dcn8qexvg13r.feishu.cn/share/base/query/shrcnMqxwwRkV3NUIUxPeab3sec</t>
        </is>
      </c>
      <c r="F1594" t="inlineStr">
        <is>
          <t>请添加微信：k846211</t>
        </is>
      </c>
      <c r="G1594" t="inlineStr">
        <is>
          <t>2026-02-24</t>
        </is>
      </c>
    </row>
    <row r="1595" ht="25.5" customHeight="1">
      <c r="A1595" t="inlineStr">
        <is>
          <t>15.往生灵验录(0.4G)</t>
        </is>
      </c>
      <c r="B1595" s="2" t="str">
        <f>=HYPERLINK("https://pan.quark.cn/s/4bdb0f4a4dd9", "https://pan.quark.cn/s/4bdb0f4a4dd9")</f>
        <v>https://pan.quark.cn/s/4bdb0f4a4dd9</v>
      </c>
      <c r="C1595" t="inlineStr">
        <is>
          <t>235.3GB</t>
        </is>
      </c>
      <c r="D1595" t="inlineStr">
        <is>
          <t>/往生/灵验/宗教/佛教/其他</t>
        </is>
      </c>
      <c r="E1595" t="inlineStr">
        <is>
          <t>https://dcn8qexvg13r.feishu.cn/share/base/query/shrcnMqxwwRkV3NUIUxPeab3sec</t>
        </is>
      </c>
      <c r="F1595" t="inlineStr">
        <is>
          <t>请添加微信：k846211</t>
        </is>
      </c>
      <c r="G1595" t="inlineStr">
        <is>
          <t>2026-02-24</t>
        </is>
      </c>
    </row>
    <row r="1596" ht="25.5" customHeight="1">
      <c r="A1596" t="inlineStr">
        <is>
          <t>2026厂长资料数量提升班</t>
        </is>
      </c>
      <c r="B1596" s="2" t="str">
        <f>=HYPERLINK("https://pan.quark.cn/s/f09db76b6cdf", "https://pan.quark.cn/s/f09db76b6cdf")</f>
        <v>https://pan.quark.cn/s/f09db76b6cdf</v>
      </c>
      <c r="C1596" t="inlineStr">
        <is>
          <t>55.9GB</t>
        </is>
      </c>
      <c r="D1596" t="inlineStr">
        <is>
          <t>/厂长/资料提升/管理培训/管理者/特定行业从业者</t>
        </is>
      </c>
      <c r="E1596" t="inlineStr">
        <is>
          <t>https://dcn8qexvg13r.feishu.cn/share/base/query/shrcnMqxwwRkV3NUIUxPeab3sec</t>
        </is>
      </c>
      <c r="F1596" t="inlineStr">
        <is>
          <t>请添加微信：k846211</t>
        </is>
      </c>
      <c r="G1596" t="inlineStr">
        <is>
          <t>2026-02-24</t>
        </is>
      </c>
    </row>
    <row r="1597" ht="25.5" customHeight="1">
      <c r="A1597" t="inlineStr">
        <is>
          <t>最美电子证件照_v2.2.7.521_解锁会员免登录.apk</t>
        </is>
      </c>
      <c r="B1597" s="2" t="str">
        <f>=HYPERLINK("https://pan.quark.cn/s/19f629f19dfa", "https://pan.quark.cn/s/19f629f19dfa")</f>
        <v>https://pan.quark.cn/s/19f629f19dfa</v>
      </c>
      <c r="C1597" t="inlineStr">
        <is>
          <t>174.2MB</t>
        </is>
      </c>
      <c r="D1597" t="inlineStr">
        <is>
          <t>/电子证件照/软件/解锁会员/免登录/大学生/白领</t>
        </is>
      </c>
      <c r="E1597" t="inlineStr">
        <is>
          <t>https://dcn8qexvg13r.feishu.cn/share/base/query/shrcnMqxwwRkV3NUIUxPeab3sec</t>
        </is>
      </c>
      <c r="F1597" t="inlineStr">
        <is>
          <t>请添加微信：k846211</t>
        </is>
      </c>
      <c r="G1597" t="inlineStr">
        <is>
          <t>2026-02-24</t>
        </is>
      </c>
    </row>
    <row r="1598" ht="25.5" customHeight="1">
      <c r="A1598" t="inlineStr">
        <is>
          <t>视频自动剪辑大师.rar</t>
        </is>
      </c>
      <c r="B1598" s="2" t="str">
        <f>=HYPERLINK("https://pan.quark.cn/s/3f5328917a60", "https://pan.quark.cn/s/3f5328917a60")</f>
        <v>https://pan.quark.cn/s/3f5328917a60</v>
      </c>
      <c r="C1598" t="inlineStr">
        <is>
          <t>361.9MB</t>
        </is>
      </c>
      <c r="D1598" t="inlineStr">
        <is>
          <t>/视频剪辑/自动剪辑/工具软件/效率工具/白领/特定行业从业者</t>
        </is>
      </c>
      <c r="E1598" t="inlineStr">
        <is>
          <t>https://dcn8qexvg13r.feishu.cn/share/base/query/shrcnMqxwwRkV3NUIUxPeab3sec</t>
        </is>
      </c>
      <c r="F1598" t="inlineStr">
        <is>
          <t>请添加微信：k846211</t>
        </is>
      </c>
      <c r="G1598" t="inlineStr">
        <is>
          <t>2026-02-24</t>
        </is>
      </c>
    </row>
    <row r="1599" ht="25.5" customHeight="1">
      <c r="A1599" t="inlineStr">
        <is>
          <t>【面试】卷心菜面试</t>
        </is>
      </c>
      <c r="B1599" s="2" t="str">
        <f>=HYPERLINK("https://pan.quark.cn/s/4d9a52f4e7ad", "https://pan.quark.cn/s/4d9a52f4e7ad")</f>
        <v>https://pan.quark.cn/s/4d9a52f4e7ad</v>
      </c>
      <c r="C1599" t="inlineStr">
        <is>
          <t>11.4MB</t>
        </is>
      </c>
      <c r="D1599" t="inlineStr">
        <is>
          <t>/面试/卷心菜/求职准备/面试技巧/大学生/白领</t>
        </is>
      </c>
      <c r="E1599" t="inlineStr">
        <is>
          <t>https://dcn8qexvg13r.feishu.cn/share/base/query/shrcnMqxwwRkV3NUIUxPeab3sec</t>
        </is>
      </c>
      <c r="F1599" t="inlineStr">
        <is>
          <t>请添加微信：k846211</t>
        </is>
      </c>
      <c r="G1599" t="inlineStr">
        <is>
          <t>2026-02-24</t>
        </is>
      </c>
    </row>
    <row r="1600" ht="25.5" customHeight="1">
      <c r="A1600" t="inlineStr">
        <is>
          <t>【申论】2026省考袁东申论领跑营理论刷题班⭐⭐⭐</t>
        </is>
      </c>
      <c r="B1600" s="2" t="str">
        <f>=HYPERLINK("https://pan.quark.cn/s/3fc21a7febb6", "https://pan.quark.cn/s/3fc21a7febb6")</f>
        <v>https://pan.quark.cn/s/3fc21a7febb6</v>
      </c>
      <c r="C1600" t="inlineStr">
        <is>
          <t>7.7GB</t>
        </is>
      </c>
      <c r="D1600" t="inlineStr">
        <is>
          <t>/申论/省考/袁东/理论刷题/考研/考公/考证党</t>
        </is>
      </c>
      <c r="E1600" t="inlineStr">
        <is>
          <t>https://dcn8qexvg13r.feishu.cn/share/base/query/shrcnMqxwwRkV3NUIUxPeab3sec</t>
        </is>
      </c>
      <c r="F1600" t="inlineStr">
        <is>
          <t>请添加微信：k846211</t>
        </is>
      </c>
      <c r="G1600" t="inlineStr">
        <is>
          <t>2026-02-24</t>
        </is>
      </c>
    </row>
    <row r="1601" ht="25.5" customHeight="1">
      <c r="A1601" t="inlineStr">
        <is>
          <t>…🌿2026跨年晚会合集💐…</t>
        </is>
      </c>
      <c r="B1601" s="2" t="str">
        <f>=HYPERLINK("https://pan.quark.cn/s/1c9a6d32b88f", "https://pan.quark.cn/s/1c9a6d32b88f")</f>
        <v>https://pan.quark.cn/s/1c9a6d32b88f</v>
      </c>
      <c r="C1601" t="inlineStr">
        <is>
          <t>190.5GB</t>
        </is>
      </c>
      <c r="D1601" t="inlineStr">
        <is>
          <t>/2026/跨年晚会/娱乐/音乐迷/其他</t>
        </is>
      </c>
      <c r="E1601" t="inlineStr">
        <is>
          <t>https://dcn8qexvg13r.feishu.cn/share/base/query/shrcnMqxwwRkV3NUIUxPeab3sec</t>
        </is>
      </c>
      <c r="F1601" t="inlineStr">
        <is>
          <t>请添加微信：k846211</t>
        </is>
      </c>
      <c r="G1601" t="inlineStr">
        <is>
          <t>2026-02-24</t>
        </is>
      </c>
    </row>
    <row r="1602" ht="25.5" customHeight="1">
      <c r="A1602" t="inlineStr">
        <is>
          <t>…🌿名家解红楼系列💐…</t>
        </is>
      </c>
      <c r="B1602" s="2" t="str">
        <f>=HYPERLINK("https://pan.quark.cn/s/f9cadb6b5e2b", "https://pan.quark.cn/s/f9cadb6b5e2b")</f>
        <v>https://pan.quark.cn/s/f9cadb6b5e2b</v>
      </c>
      <c r="C1602" t="inlineStr">
        <is>
          <t>203.7MB</t>
        </is>
      </c>
      <c r="D1602" t="inlineStr">
        <is>
          <t>/红楼梦/名家解读/文学分析/文学研究/大学生/其他</t>
        </is>
      </c>
      <c r="E1602" t="inlineStr">
        <is>
          <t>https://dcn8qexvg13r.feishu.cn/share/base/query/shrcnMqxwwRkV3NUIUxPeab3sec</t>
        </is>
      </c>
      <c r="F1602" t="inlineStr">
        <is>
          <t>请添加微信：k846211</t>
        </is>
      </c>
      <c r="G1602" t="inlineStr">
        <is>
          <t>2026-02-24</t>
        </is>
      </c>
    </row>
    <row r="1603" ht="25.5" customHeight="1">
      <c r="A1603" t="inlineStr">
        <is>
          <t>小学语文《课课贴彩色版》 1年级下册(1)</t>
        </is>
      </c>
      <c r="B1603" s="2" t="str">
        <f>=HYPERLINK("https://pan.quark.cn/s/55ff5bd0c966", "https://pan.quark.cn/s/55ff5bd0c966")</f>
        <v>https://pan.quark.cn/s/55ff5bd0c966</v>
      </c>
      <c r="C1603" t="inlineStr">
        <is>
          <t>82.6MB</t>
        </is>
      </c>
      <c r="D1603" t="inlineStr">
        <is>
          <t>/小学语文/课课贴/1年级下册/彩色版/K12/学龄儿童家长</t>
        </is>
      </c>
      <c r="E1603" t="inlineStr">
        <is>
          <t>https://dcn8qexvg13r.feishu.cn/share/base/query/shrcnMqxwwRkV3NUIUxPeab3sec</t>
        </is>
      </c>
      <c r="F1603" t="inlineStr">
        <is>
          <t>请添加微信：k846211</t>
        </is>
      </c>
      <c r="G1603" t="inlineStr">
        <is>
          <t>2026-02-25</t>
        </is>
      </c>
    </row>
    <row r="1604" ht="25.5" customHeight="1">
      <c r="A1604" t="inlineStr">
        <is>
          <t>小学语文《课后三表专项练习》1-6下册（26春）(1)</t>
        </is>
      </c>
      <c r="B1604" s="2" t="str">
        <f>=HYPERLINK("https://pan.quark.cn/s/cbd52b0a2946", "https://pan.quark.cn/s/cbd52b0a2946")</f>
        <v>https://pan.quark.cn/s/cbd52b0a2946</v>
      </c>
      <c r="C1604" t="inlineStr">
        <is>
          <t>22.0MB</t>
        </is>
      </c>
      <c r="D1604" t="inlineStr">
        <is>
          <t>/小学语文/课后练习/专项练习/1-6年级/K12/学龄儿童家长</t>
        </is>
      </c>
      <c r="E1604" t="inlineStr">
        <is>
          <t>https://dcn8qexvg13r.feishu.cn/share/base/query/shrcnMqxwwRkV3NUIUxPeab3sec</t>
        </is>
      </c>
      <c r="F1604" t="inlineStr">
        <is>
          <t>请添加微信：k846211</t>
        </is>
      </c>
      <c r="G1604" t="inlineStr">
        <is>
          <t>2026-02-25</t>
        </is>
      </c>
    </row>
    <row r="1605" ht="25.5" customHeight="1">
      <c r="A1605" t="inlineStr">
        <is>
          <t>26年寒假语数英特色作业</t>
        </is>
      </c>
      <c r="B1605" s="2" t="str">
        <f>=HYPERLINK("https://pan.quark.cn/s/0f7cec49f78d", "https://pan.quark.cn/s/0f7cec49f78d")</f>
        <v>https://pan.quark.cn/s/0f7cec49f78d</v>
      </c>
      <c r="C1605" t="inlineStr">
        <is>
          <t>72.0MB</t>
        </is>
      </c>
      <c r="D1605" t="inlineStr">
        <is>
          <t>/寒假作业/语数英/特色作业/K12/学龄儿童家长</t>
        </is>
      </c>
      <c r="E1605" t="inlineStr">
        <is>
          <t>https://dcn8qexvg13r.feishu.cn/share/base/query/shrcnMqxwwRkV3NUIUxPeab3sec</t>
        </is>
      </c>
      <c r="F1605" t="inlineStr">
        <is>
          <t>请添加微信：k846211</t>
        </is>
      </c>
      <c r="G1605" t="inlineStr">
        <is>
          <t>2026-02-25</t>
        </is>
      </c>
    </row>
    <row r="1606" ht="25.5" customHeight="1">
      <c r="A1606" t="inlineStr">
        <is>
          <t>26春1-6年级语文《阳光同学寒假衔接》</t>
        </is>
      </c>
      <c r="B1606" s="2" t="str">
        <f>=HYPERLINK("https://pan.quark.cn/s/7a3792605a7a", "https://pan.quark.cn/s/7a3792605a7a")</f>
        <v>https://pan.quark.cn/s/7a3792605a7a</v>
      </c>
      <c r="C1606" t="inlineStr">
        <is>
          <t>392.0MB</t>
        </is>
      </c>
      <c r="D1606" t="inlineStr">
        <is>
          <t>/语文/寒假衔接/1-6年级/K12/学龄儿童家长</t>
        </is>
      </c>
      <c r="E1606" t="inlineStr">
        <is>
          <t>https://dcn8qexvg13r.feishu.cn/share/base/query/shrcnMqxwwRkV3NUIUxPeab3sec</t>
        </is>
      </c>
      <c r="F1606" t="inlineStr">
        <is>
          <t>请添加微信：k846211</t>
        </is>
      </c>
      <c r="G1606" t="inlineStr">
        <is>
          <t>2026-02-25</t>
        </is>
      </c>
    </row>
    <row r="1607" ht="25.5" customHeight="1">
      <c r="A1607" t="inlineStr">
        <is>
          <t>数学《阳光同学 寒假衔接》北师 26春</t>
        </is>
      </c>
      <c r="B1607" s="2" t="str">
        <f>=HYPERLINK("https://pan.quark.cn/s/e4201fa06ccb", "https://pan.quark.cn/s/e4201fa06ccb")</f>
        <v>https://pan.quark.cn/s/e4201fa06ccb</v>
      </c>
      <c r="C1607" t="inlineStr">
        <is>
          <t>978.0MB</t>
        </is>
      </c>
      <c r="D1607" t="inlineStr">
        <is>
          <t>/数学/寒假衔接/北师大版/同步练习/K12/学龄儿童家长</t>
        </is>
      </c>
      <c r="E1607" t="inlineStr">
        <is>
          <t>https://dcn8qexvg13r.feishu.cn/share/base/query/shrcnMqxwwRkV3NUIUxPeab3sec</t>
        </is>
      </c>
      <c r="F1607" t="inlineStr">
        <is>
          <t>请添加微信：k846211</t>
        </is>
      </c>
      <c r="G1607" t="inlineStr">
        <is>
          <t>2026-02-25</t>
        </is>
      </c>
    </row>
    <row r="1608" ht="25.5" customHeight="1">
      <c r="A1608" t="inlineStr">
        <is>
          <t>26春3-6年级英语《阳光同学寒假衔接》人教PEP</t>
        </is>
      </c>
      <c r="B1608" s="2" t="str">
        <f>=HYPERLINK("https://pan.quark.cn/s/b5e6094f2656", "https://pan.quark.cn/s/b5e6094f2656")</f>
        <v>https://pan.quark.cn/s/b5e6094f2656</v>
      </c>
      <c r="C1608" t="inlineStr">
        <is>
          <t>480.6MB</t>
        </is>
      </c>
      <c r="D1608" t="inlineStr">
        <is>
          <t>/英语/寒假衔接/人教PEP/3-6年级/K12/学龄儿童家长</t>
        </is>
      </c>
      <c r="E1608" t="inlineStr">
        <is>
          <t>https://dcn8qexvg13r.feishu.cn/share/base/query/shrcnMqxwwRkV3NUIUxPeab3sec</t>
        </is>
      </c>
      <c r="F1608" t="inlineStr">
        <is>
          <t>请添加微信：k846211</t>
        </is>
      </c>
      <c r="G1608" t="inlineStr">
        <is>
          <t>2026-02-25</t>
        </is>
      </c>
    </row>
    <row r="1609" ht="25.5" customHeight="1">
      <c r="A1609" t="inlineStr">
        <is>
          <t>小学语文《背诵闯关表》1-6年级下册（26春）</t>
        </is>
      </c>
      <c r="B1609" s="2" t="str">
        <f>=HYPERLINK("https://pan.quark.cn/s/62a1ca66f0a3", "https://pan.quark.cn/s/62a1ca66f0a3")</f>
        <v>https://pan.quark.cn/s/62a1ca66f0a3</v>
      </c>
      <c r="C1609" t="inlineStr">
        <is>
          <t>2.6MB</t>
        </is>
      </c>
      <c r="D1609" t="inlineStr">
        <is>
          <t>/小学语文/背诵闯关/1-6年级/下册/学龄儿童家长/K12</t>
        </is>
      </c>
      <c r="E1609" t="inlineStr">
        <is>
          <t>https://dcn8qexvg13r.feishu.cn/share/base/query/shrcnMqxwwRkV3NUIUxPeab3sec</t>
        </is>
      </c>
      <c r="F1609" t="inlineStr">
        <is>
          <t>请添加微信：k846211</t>
        </is>
      </c>
      <c r="G1609" t="inlineStr">
        <is>
          <t>2026-02-25</t>
        </is>
      </c>
    </row>
    <row r="1610" ht="25.5" customHeight="1">
      <c r="A1610" t="inlineStr">
        <is>
          <t>一年级下册精讲语文字帖26春.pdf</t>
        </is>
      </c>
      <c r="B1610" s="2" t="str">
        <f>=HYPERLINK("https://pan.quark.cn/s/5338cd5f5a6c", "https://pan.quark.cn/s/5338cd5f5a6c")</f>
        <v>https://pan.quark.cn/s/5338cd5f5a6c</v>
      </c>
      <c r="C1610" t="inlineStr">
        <is>
          <t>272.9MB</t>
        </is>
      </c>
      <c r="D1610" t="inlineStr">
        <is>
          <t>/一年级语文/字帖/精讲/汉字书写/K12/学龄儿童家长</t>
        </is>
      </c>
      <c r="E1610" t="inlineStr">
        <is>
          <t>https://dcn8qexvg13r.feishu.cn/share/base/query/shrcnMqxwwRkV3NUIUxPeab3sec</t>
        </is>
      </c>
      <c r="F1610" t="inlineStr">
        <is>
          <t>请添加微信：k846211</t>
        </is>
      </c>
      <c r="G1610" t="inlineStr">
        <is>
          <t>2026-02-25</t>
        </is>
      </c>
    </row>
    <row r="1611" ht="25.5" customHeight="1">
      <c r="A1611" t="inlineStr">
        <is>
          <t>2026年新增100款《A4纸打印模板》累计200款PDF电子版下载（创新作业纸成语积累纸生字练习纸作文纸错题纸</t>
        </is>
      </c>
      <c r="B1611" s="2" t="str">
        <f>=HYPERLINK("https://pan.quark.cn/s/3cd99c90a8c3", "https://pan.quark.cn/s/3cd99c90a8c3")</f>
        <v>https://pan.quark.cn/s/3cd99c90a8c3</v>
      </c>
      <c r="C1611" t="inlineStr">
        <is>
          <t>477.8MB</t>
        </is>
      </c>
      <c r="D1611" t="inlineStr">
        <is>
          <t>/A4纸打印模板/作业纸/成语积累/生字练习/作文纸/错题纸/K12/学龄儿童家长</t>
        </is>
      </c>
      <c r="E1611" t="inlineStr">
        <is>
          <t>https://dcn8qexvg13r.feishu.cn/share/base/query/shrcnMqxwwRkV3NUIUxPeab3sec</t>
        </is>
      </c>
      <c r="F1611" t="inlineStr">
        <is>
          <t>请添加微信：k846211</t>
        </is>
      </c>
      <c r="G1611" t="inlineStr">
        <is>
          <t>2026-02-25</t>
        </is>
      </c>
    </row>
    <row r="1612" ht="25.5" customHeight="1">
      <c r="A1612" t="inlineStr">
        <is>
          <t>寒假一本预备语文26年下册2</t>
        </is>
      </c>
      <c r="B1612" s="2" t="str">
        <f>=HYPERLINK("https://pan.quark.cn/s/ceff2cb41559", "https://pan.quark.cn/s/ceff2cb41559")</f>
        <v>https://pan.quark.cn/s/ceff2cb41559</v>
      </c>
      <c r="C1612" t="inlineStr">
        <is>
          <t>95.8MB</t>
        </is>
      </c>
      <c r="D1612" t="inlineStr">
        <is>
          <t>/寒假/预备语文/26年下册/教辅/K12/学龄儿童家长</t>
        </is>
      </c>
      <c r="E1612" t="inlineStr">
        <is>
          <t>https://dcn8qexvg13r.feishu.cn/share/base/query/shrcnMqxwwRkV3NUIUxPeab3sec</t>
        </is>
      </c>
      <c r="F1612" t="inlineStr">
        <is>
          <t>请添加微信：k846211</t>
        </is>
      </c>
      <c r="G1612" t="inlineStr">
        <is>
          <t>2026-02-25</t>
        </is>
      </c>
    </row>
    <row r="1613" ht="25.5" customHeight="1">
      <c r="A1613" t="inlineStr">
        <is>
          <t>【小学语文】大猫老师：问出来的阅读力</t>
        </is>
      </c>
      <c r="B1613" s="2" t="str">
        <f>=HYPERLINK("https://pan.quark.cn/s/e890095ce952", "https://pan.quark.cn/s/e890095ce952")</f>
        <v>https://pan.quark.cn/s/e890095ce952</v>
      </c>
      <c r="C1613" t="inlineStr">
        <is>
          <t>1.6GB</t>
        </is>
      </c>
      <c r="D1613" t="inlineStr">
        <is>
          <t>/小学语文/阅读力/阅读方法/大猫老师/学龄儿童家长/K12</t>
        </is>
      </c>
      <c r="E1613" t="inlineStr">
        <is>
          <t>https://dcn8qexvg13r.feishu.cn/share/base/query/shrcnMqxwwRkV3NUIUxPeab3sec</t>
        </is>
      </c>
      <c r="F1613" t="inlineStr">
        <is>
          <t>请添加微信：k846211</t>
        </is>
      </c>
      <c r="G1613" t="inlineStr">
        <is>
          <t>2026-02-25</t>
        </is>
      </c>
    </row>
    <row r="1614" ht="25.5" customHeight="1">
      <c r="A1614" t="inlineStr">
        <is>
          <t>26春《一本预备六年级》人教数学</t>
        </is>
      </c>
      <c r="B1614" s="2" t="str">
        <f>=HYPERLINK("https://pan.quark.cn/s/cfccf14b78d7", "https://pan.quark.cn/s/cfccf14b78d7")</f>
        <v>https://pan.quark.cn/s/cfccf14b78d7</v>
      </c>
      <c r="C1614" t="inlineStr">
        <is>
          <t>413.5MB</t>
        </is>
      </c>
      <c r="D1614" t="inlineStr">
        <is>
          <t>/六年级数学/人教版/预备教材/教辅资料/K12/学龄儿童家长</t>
        </is>
      </c>
      <c r="E1614" t="inlineStr">
        <is>
          <t>https://dcn8qexvg13r.feishu.cn/share/base/query/shrcnMqxwwRkV3NUIUxPeab3sec</t>
        </is>
      </c>
      <c r="F1614" t="inlineStr">
        <is>
          <t>请添加微信：k846211</t>
        </is>
      </c>
      <c r="G1614" t="inlineStr">
        <is>
          <t>2026-02-25</t>
        </is>
      </c>
    </row>
    <row r="1615" ht="25.5" customHeight="1">
      <c r="A1615" t="inlineStr">
        <is>
          <t>典中点基础8分钟26年人教下册1-6年级</t>
        </is>
      </c>
      <c r="B1615" s="2" t="str">
        <f>=HYPERLINK("https://pan.quark.cn/s/4674c4b6286e", "https://pan.quark.cn/s/4674c4b6286e")</f>
        <v>https://pan.quark.cn/s/4674c4b6286e</v>
      </c>
      <c r="C1615" t="inlineStr">
        <is>
          <t>137.0MB</t>
        </is>
      </c>
      <c r="D1615" t="inlineStr">
        <is>
          <t>/典中点/基础练习/人教下册/1-6年级/基础8分钟/K12/学龄儿童家长</t>
        </is>
      </c>
      <c r="E1615" t="inlineStr">
        <is>
          <t>https://dcn8qexvg13r.feishu.cn/share/base/query/shrcnMqxwwRkV3NUIUxPeab3sec</t>
        </is>
      </c>
      <c r="F1615" t="inlineStr">
        <is>
          <t>请添加微信：k846211</t>
        </is>
      </c>
      <c r="G1615" t="inlineStr">
        <is>
          <t>2026-02-25</t>
        </is>
      </c>
    </row>
    <row r="1616" ht="25.5" customHeight="1">
      <c r="A1616" t="inlineStr">
        <is>
          <t>数学下册26春寒假作业每日一练</t>
        </is>
      </c>
      <c r="B1616" s="2" t="str">
        <f>=HYPERLINK("https://pan.quark.cn/s/f46f82453fb2", "https://pan.quark.cn/s/f46f82453fb2")</f>
        <v>https://pan.quark.cn/s/f46f82453fb2</v>
      </c>
      <c r="C1616" t="inlineStr">
        <is>
          <t>111.1MB</t>
        </is>
      </c>
      <c r="D1616" t="inlineStr">
        <is>
          <t>/数学/寒假作业/每日一练/K12/学龄儿童家长</t>
        </is>
      </c>
      <c r="E1616" t="inlineStr">
        <is>
          <t>https://dcn8qexvg13r.feishu.cn/share/base/query/shrcnMqxwwRkV3NUIUxPeab3sec</t>
        </is>
      </c>
      <c r="F1616" t="inlineStr">
        <is>
          <t>请添加微信：k846211</t>
        </is>
      </c>
      <c r="G1616" t="inlineStr">
        <is>
          <t>2026-02-25</t>
        </is>
      </c>
    </row>
    <row r="1617" ht="25.5" customHeight="1">
      <c r="A1617" t="inlineStr">
        <is>
          <t>微信视频号下载助手 wx_channel</t>
        </is>
      </c>
      <c r="B1617" s="2" t="str">
        <f>=HYPERLINK("https://pan.quark.cn/s/6dc45d62d5b8", "https://pan.quark.cn/s/6dc45d62d5b8")</f>
        <v>https://pan.quark.cn/s/6dc45d62d5b8</v>
      </c>
      <c r="C1617" t="inlineStr">
        <is>
          <t>21.9MB</t>
        </is>
      </c>
      <c r="D1617" t="inlineStr">
        <is>
          <t>/微信视频号/下载工具/视频保存/白领/特定行业从业者</t>
        </is>
      </c>
      <c r="E1617" t="inlineStr">
        <is>
          <t>https://dcn8qexvg13r.feishu.cn/share/base/query/shrcnMqxwwRkV3NUIUxPeab3sec</t>
        </is>
      </c>
      <c r="F1617" t="inlineStr">
        <is>
          <t>请添加微信：k846211</t>
        </is>
      </c>
      <c r="G1617" t="inlineStr">
        <is>
          <t>2026-02-25</t>
        </is>
      </c>
    </row>
    <row r="1618" ht="25.5" customHeight="1">
      <c r="A1618" t="inlineStr">
        <is>
          <t>科学思维课</t>
        </is>
      </c>
      <c r="B1618" s="2" t="str">
        <f>=HYPERLINK("https://pan.quark.cn/s/f0defd93c7e7", "https://pan.quark.cn/s/f0defd93c7e7")</f>
        <v>https://pan.quark.cn/s/f0defd93c7e7</v>
      </c>
      <c r="C1618" t="inlineStr">
        <is>
          <t>10.8GB</t>
        </is>
      </c>
      <c r="D1618" t="inlineStr">
        <is>
          <t>/科学思维/课程/思维训练/逻辑培养/K12/大学生</t>
        </is>
      </c>
      <c r="E1618" t="inlineStr">
        <is>
          <t>https://dcn8qexvg13r.feishu.cn/share/base/query/shrcnMqxwwRkV3NUIUxPeab3sec</t>
        </is>
      </c>
      <c r="F1618" t="inlineStr">
        <is>
          <t>请添加微信：k846211</t>
        </is>
      </c>
      <c r="G1618" t="inlineStr">
        <is>
          <t>2026-02-27</t>
        </is>
      </c>
    </row>
    <row r="1619" ht="25.5" customHeight="1">
      <c r="A1619" t="inlineStr">
        <is>
          <t>26春王朝霞培优100分语文二下</t>
        </is>
      </c>
      <c r="B1619" s="2" t="str">
        <f>=HYPERLINK("https://pan.quark.cn/s/553708ea7f35", "https://pan.quark.cn/s/553708ea7f35")</f>
        <v>https://pan.quark.cn/s/553708ea7f35</v>
      </c>
      <c r="C1619" t="inlineStr">
        <is>
          <t>543.9MB</t>
        </is>
      </c>
      <c r="D1619" t="inlineStr">
        <is>
          <t>/王朝霞/语文/二年级下册/培优100分/K12/学龄儿童家长</t>
        </is>
      </c>
      <c r="E1619" t="inlineStr">
        <is>
          <t>https://dcn8qexvg13r.feishu.cn/share/base/query/shrcnMqxwwRkV3NUIUxPeab3sec</t>
        </is>
      </c>
      <c r="F1619" t="inlineStr">
        <is>
          <t>请添加微信：k846211</t>
        </is>
      </c>
      <c r="G1619" t="inlineStr">
        <is>
          <t>2026-02-27</t>
        </is>
      </c>
    </row>
    <row r="1620" ht="25.5" customHeight="1">
      <c r="A1620" t="inlineStr">
        <is>
          <t>26春53天天练下册数学人教版4-6年级</t>
        </is>
      </c>
      <c r="B1620" s="2" t="str">
        <f>=HYPERLINK("https://pan.quark.cn/s/dabb9023e3a2", "https://pan.quark.cn/s/dabb9023e3a2")</f>
        <v>https://pan.quark.cn/s/dabb9023e3a2</v>
      </c>
      <c r="C1620" t="inlineStr">
        <is>
          <t>511.8MB</t>
        </is>
      </c>
      <c r="D1620" t="inlineStr">
        <is>
          <t>/数学/同步练习/人教版/4-6年级/K12/学龄儿童家长</t>
        </is>
      </c>
      <c r="E1620" t="inlineStr">
        <is>
          <t>https://dcn8qexvg13r.feishu.cn/share/base/query/shrcnMqxwwRkV3NUIUxPeab3sec</t>
        </is>
      </c>
      <c r="F1620" t="inlineStr">
        <is>
          <t>请添加微信：k846211</t>
        </is>
      </c>
      <c r="G1620" t="inlineStr">
        <is>
          <t>2026-02-27</t>
        </is>
      </c>
    </row>
    <row r="1621" ht="25.5" customHeight="1">
      <c r="A1621" t="inlineStr">
        <is>
          <t>26春学霸寒假语文阅读集训1-6年级(1)</t>
        </is>
      </c>
      <c r="B1621" s="2" t="str">
        <f>=HYPERLINK("https://pan.quark.cn/s/86c3c5a7e699", "https://pan.quark.cn/s/86c3c5a7e699")</f>
        <v>https://pan.quark.cn/s/86c3c5a7e699</v>
      </c>
      <c r="C1621" t="inlineStr">
        <is>
          <t>274.7MB</t>
        </is>
      </c>
      <c r="D1621" t="inlineStr">
        <is>
          <t>/语文阅读/寒假集训/学霸/1-6年级/K12/学龄儿童家长</t>
        </is>
      </c>
      <c r="E1621" t="inlineStr">
        <is>
          <t>https://dcn8qexvg13r.feishu.cn/share/base/query/shrcnMqxwwRkV3NUIUxPeab3sec</t>
        </is>
      </c>
      <c r="F1621" t="inlineStr">
        <is>
          <t>请添加微信：k846211</t>
        </is>
      </c>
      <c r="G1621" t="inlineStr">
        <is>
          <t>2026-02-27</t>
        </is>
      </c>
    </row>
    <row r="1622" ht="25.5" customHeight="1">
      <c r="A1622" t="inlineStr">
        <is>
          <t>数学《阳光同学 寒假衔接》北师 26春(1)</t>
        </is>
      </c>
      <c r="B1622" s="2" t="str">
        <f>=HYPERLINK("https://pan.quark.cn/s/7c804b0bc7ed", "https://pan.quark.cn/s/7c804b0bc7ed")</f>
        <v>https://pan.quark.cn/s/7c804b0bc7ed</v>
      </c>
      <c r="C1622" t="inlineStr">
        <is>
          <t>1.6GB</t>
        </is>
      </c>
      <c r="D1622" t="inlineStr">
        <is>
          <t>/数学/寒假衔接/北师大版/练习册/K12/学龄儿童家长</t>
        </is>
      </c>
      <c r="E1622" t="inlineStr">
        <is>
          <t>https://dcn8qexvg13r.feishu.cn/share/base/query/shrcnMqxwwRkV3NUIUxPeab3sec</t>
        </is>
      </c>
      <c r="F1622" t="inlineStr">
        <is>
          <t>请添加微信：k846211</t>
        </is>
      </c>
      <c r="G1622" t="inlineStr">
        <is>
          <t>2026-02-27</t>
        </is>
      </c>
    </row>
    <row r="1623" ht="25.5" customHeight="1">
      <c r="A1623" t="inlineStr">
        <is>
          <t>二语下一课一练看拼音写词语.pdf</t>
        </is>
      </c>
      <c r="B1623" s="2" t="str">
        <f>=HYPERLINK("https://pan.quark.cn/s/6d84d5557518", "https://pan.quark.cn/s/6d84d5557518")</f>
        <v>https://pan.quark.cn/s/6d84d5557518</v>
      </c>
      <c r="C1623" t="inlineStr">
        <is>
          <t>85.1MB</t>
        </is>
      </c>
      <c r="D1623" t="inlineStr">
        <is>
          <t>/二语/看拼音写词语/练习册/一课一练/K12/学龄儿童家长</t>
        </is>
      </c>
      <c r="E1623" t="inlineStr">
        <is>
          <t>https://dcn8qexvg13r.feishu.cn/share/base/query/shrcnMqxwwRkV3NUIUxPeab3sec</t>
        </is>
      </c>
      <c r="F1623" t="inlineStr">
        <is>
          <t>请添加微信：k846211</t>
        </is>
      </c>
      <c r="G1623" t="inlineStr">
        <is>
          <t>2026-02-27</t>
        </is>
      </c>
    </row>
    <row r="1624" ht="25.5" customHeight="1">
      <c r="A1624" t="inlineStr">
        <is>
          <t>26春《拔尖特训》语文 1下</t>
        </is>
      </c>
      <c r="B1624" s="2" t="str">
        <f>=HYPERLINK("https://pan.quark.cn/s/53ebf2471853", "https://pan.quark.cn/s/53ebf2471853")</f>
        <v>https://pan.quark.cn/s/53ebf2471853</v>
      </c>
      <c r="C1624" t="inlineStr">
        <is>
          <t>141.6MB</t>
        </is>
      </c>
      <c r="D1624" t="inlineStr">
        <is>
          <t>/语文/拔尖特训/小学1年级/K12/学龄儿童家长</t>
        </is>
      </c>
      <c r="E1624" t="inlineStr">
        <is>
          <t>https://dcn8qexvg13r.feishu.cn/share/base/query/shrcnMqxwwRkV3NUIUxPeab3sec</t>
        </is>
      </c>
      <c r="F1624" t="inlineStr">
        <is>
          <t>请添加微信：k846211</t>
        </is>
      </c>
      <c r="G1624" t="inlineStr">
        <is>
          <t>2026-02-28</t>
        </is>
      </c>
    </row>
    <row r="1625" ht="25.5" customHeight="1">
      <c r="A1625" t="inlineStr">
        <is>
          <t>26春《拔尖特训》语文 2下</t>
        </is>
      </c>
      <c r="B1625" s="2" t="str">
        <f>=HYPERLINK("https://pan.quark.cn/s/bc4fe12b7ba2", "https://pan.quark.cn/s/bc4fe12b7ba2")</f>
        <v>https://pan.quark.cn/s/bc4fe12b7ba2</v>
      </c>
      <c r="C1625" t="inlineStr">
        <is>
          <t>156.6MB</t>
        </is>
      </c>
      <c r="D1625" t="inlineStr">
        <is>
          <t>/语文/二年级下学期/拔尖特训/教辅资料/K12/学龄儿童家长</t>
        </is>
      </c>
      <c r="E1625" t="inlineStr">
        <is>
          <t>https://dcn8qexvg13r.feishu.cn/share/base/query/shrcnMqxwwRkV3NUIUxPeab3sec</t>
        </is>
      </c>
      <c r="F1625" t="inlineStr">
        <is>
          <t>请添加微信：k846211</t>
        </is>
      </c>
      <c r="G1625" t="inlineStr">
        <is>
          <t>2026-02-28</t>
        </is>
      </c>
    </row>
    <row r="1626" ht="25.5" customHeight="1">
      <c r="A1626" t="inlineStr">
        <is>
          <t>26春《拔尖特训》语文 4下</t>
        </is>
      </c>
      <c r="B1626" s="2" t="str">
        <f>=HYPERLINK("https://pan.quark.cn/s/eb07b5d5679f", "https://pan.quark.cn/s/eb07b5d5679f")</f>
        <v>https://pan.quark.cn/s/eb07b5d5679f</v>
      </c>
      <c r="C1626" t="inlineStr">
        <is>
          <t>207.6MB</t>
        </is>
      </c>
      <c r="D1626" t="inlineStr">
        <is>
          <t>/语文/四年级下册/拔尖特训/练习册/K12/学龄儿童家长</t>
        </is>
      </c>
      <c r="E1626" t="inlineStr">
        <is>
          <t>https://dcn8qexvg13r.feishu.cn/share/base/query/shrcnMqxwwRkV3NUIUxPeab3sec</t>
        </is>
      </c>
      <c r="F1626" t="inlineStr">
        <is>
          <t>请添加微信：k846211</t>
        </is>
      </c>
      <c r="G1626" t="inlineStr">
        <is>
          <t>2026-02-28</t>
        </is>
      </c>
    </row>
    <row r="1627" ht="25.5" customHeight="1">
      <c r="A1627" t="inlineStr">
        <is>
          <t>26春《拔尖特训》语文 5下</t>
        </is>
      </c>
      <c r="B1627" s="2" t="str">
        <f>=HYPERLINK("https://pan.quark.cn/s/ddefad9df73b", "https://pan.quark.cn/s/ddefad9df73b")</f>
        <v>https://pan.quark.cn/s/ddefad9df73b</v>
      </c>
      <c r="C1627" t="inlineStr">
        <is>
          <t>209.0MB</t>
        </is>
      </c>
      <c r="D1627" t="inlineStr">
        <is>
          <t>/语文/拔尖特训/五年级下册/教辅/K12/学龄儿童家长</t>
        </is>
      </c>
      <c r="E1627" t="inlineStr">
        <is>
          <t>https://dcn8qexvg13r.feishu.cn/share/base/query/shrcnMqxwwRkV3NUIUxPeab3sec</t>
        </is>
      </c>
      <c r="F1627" t="inlineStr">
        <is>
          <t>请添加微信：k846211</t>
        </is>
      </c>
      <c r="G1627" t="inlineStr">
        <is>
          <t>2026-02-28</t>
        </is>
      </c>
    </row>
    <row r="1628" ht="25.5" customHeight="1">
      <c r="A1628" t="inlineStr">
        <is>
          <t>26春《拔尖特训》语文 6下</t>
        </is>
      </c>
      <c r="B1628" s="2" t="str">
        <f>=HYPERLINK("https://pan.quark.cn/s/2f19078ce417", "https://pan.quark.cn/s/2f19078ce417")</f>
        <v>https://pan.quark.cn/s/2f19078ce417</v>
      </c>
      <c r="C1628" t="inlineStr">
        <is>
          <t>200.7MB</t>
        </is>
      </c>
      <c r="D1628" t="inlineStr">
        <is>
          <t>/语文/六年级下册/拔尖特训/教辅/K12/学龄儿童家长</t>
        </is>
      </c>
      <c r="E1628" t="inlineStr">
        <is>
          <t>https://dcn8qexvg13r.feishu.cn/share/base/query/shrcnMqxwwRkV3NUIUxPeab3sec</t>
        </is>
      </c>
      <c r="F1628" t="inlineStr">
        <is>
          <t>请添加微信：k846211</t>
        </is>
      </c>
      <c r="G1628" t="inlineStr">
        <is>
          <t>2026-02-28</t>
        </is>
      </c>
    </row>
    <row r="1629" ht="25.5" customHeight="1">
      <c r="A1629" t="inlineStr">
        <is>
          <t>26春1-6年级语文下册《学霸提优大试卷》</t>
        </is>
      </c>
      <c r="B1629" s="2" t="str">
        <f>=HYPERLINK("https://pan.quark.cn/s/181868127090", "https://pan.quark.cn/s/181868127090")</f>
        <v>https://pan.quark.cn/s/181868127090</v>
      </c>
      <c r="C1629" t="inlineStr">
        <is>
          <t>293.3MB</t>
        </is>
      </c>
      <c r="D1629" t="inlineStr">
        <is>
          <t>/语文/试卷/提优/1-6年级/学霸/K12/学龄儿童家长</t>
        </is>
      </c>
      <c r="E1629" t="inlineStr">
        <is>
          <t>https://dcn8qexvg13r.feishu.cn/share/base/query/shrcnMqxwwRkV3NUIUxPeab3sec</t>
        </is>
      </c>
      <c r="F1629" t="inlineStr">
        <is>
          <t>请添加微信：k846211</t>
        </is>
      </c>
      <c r="G1629" t="inlineStr">
        <is>
          <t>2026-03-04</t>
        </is>
      </c>
    </row>
    <row r="1630" ht="25.5" customHeight="1">
      <c r="A1630" t="inlineStr">
        <is>
          <t>26春1-6年级数学下册人教版《学霸提优大试卷》</t>
        </is>
      </c>
      <c r="B1630" s="2" t="str">
        <f>=HYPERLINK("https://pan.quark.cn/s/67aff123e302", "https://pan.quark.cn/s/67aff123e302")</f>
        <v>https://pan.quark.cn/s/67aff123e302</v>
      </c>
      <c r="C1630" t="inlineStr">
        <is>
          <t>227.2MB</t>
        </is>
      </c>
      <c r="D1630" t="inlineStr">
        <is>
          <t>/数学/人教版/小学1-6年级/学霸提优/K12/学龄儿童家长</t>
        </is>
      </c>
      <c r="E1630" t="inlineStr">
        <is>
          <t>https://dcn8qexvg13r.feishu.cn/share/base/query/shrcnMqxwwRkV3NUIUxPeab3sec</t>
        </is>
      </c>
      <c r="F1630" t="inlineStr">
        <is>
          <t>请添加微信：k846211</t>
        </is>
      </c>
      <c r="G1630" t="inlineStr">
        <is>
          <t>2026-03-04</t>
        </is>
      </c>
    </row>
    <row r="1631" ht="25.5" customHeight="1">
      <c r="A1631" t="inlineStr">
        <is>
          <t>26春3-6年级英语下册人教PEP版《学霸提优大试卷》</t>
        </is>
      </c>
      <c r="B1631" s="2" t="str">
        <f>=HYPERLINK("https://pan.quark.cn/s/0ec4b90dd743", "https://pan.quark.cn/s/0ec4b90dd743")</f>
        <v>https://pan.quark.cn/s/0ec4b90dd743</v>
      </c>
      <c r="C1631" t="inlineStr">
        <is>
          <t>154.1MB</t>
        </is>
      </c>
      <c r="D1631" t="inlineStr">
        <is>
          <t>/英语/试卷/提优/3-6年级/人教PEP版/K12/学龄儿童家长</t>
        </is>
      </c>
      <c r="E1631" t="inlineStr">
        <is>
          <t>https://dcn8qexvg13r.feishu.cn/share/base/query/shrcnMqxwwRkV3NUIUxPeab3sec</t>
        </is>
      </c>
      <c r="F1631" t="inlineStr">
        <is>
          <t>请添加微信：k846211</t>
        </is>
      </c>
      <c r="G1631" t="inlineStr">
        <is>
          <t>2026-03-04</t>
        </is>
      </c>
    </row>
    <row r="1632" ht="25.5" customHeight="1">
      <c r="A1632" t="inlineStr">
        <is>
          <t>18个语法知识点</t>
        </is>
      </c>
      <c r="B1632" s="2" t="str">
        <f>=HYPERLINK("https://pan.quark.cn/s/7fa7107c7a0b", "https://pan.quark.cn/s/7fa7107c7a0b")</f>
        <v>https://pan.quark.cn/s/7fa7107c7a0b</v>
      </c>
      <c r="C1632" t="inlineStr">
        <is>
          <t>601.2KB</t>
        </is>
      </c>
      <c r="D1632" t="inlineStr">
        <is>
          <t>/语法/知识点/语言/K12/大学生</t>
        </is>
      </c>
      <c r="E1632" t="inlineStr">
        <is>
          <t>https://dcn8qexvg13r.feishu.cn/share/base/query/shrcnMqxwwRkV3NUIUxPeab3sec</t>
        </is>
      </c>
      <c r="F1632" t="inlineStr">
        <is>
          <t>请添加微信：k846211</t>
        </is>
      </c>
      <c r="G1632" t="inlineStr">
        <is>
          <t>2026-03-04</t>
        </is>
      </c>
    </row>
    <row r="1633" ht="25.5" customHeight="1">
      <c r="A1633" t="inlineStr">
        <is>
          <t>26春《四星学霸提高班》数学 苏教</t>
        </is>
      </c>
      <c r="B1633" s="2" t="str">
        <f>=HYPERLINK("https://pan.quark.cn/s/41fc45f80078", "https://pan.quark.cn/s/41fc45f80078")</f>
        <v>https://pan.quark.cn/s/41fc45f80078</v>
      </c>
      <c r="C1633" t="inlineStr">
        <is>
          <t>1.1GB</t>
        </is>
      </c>
      <c r="D1633" t="inlineStr">
        <is>
          <t>/数学/苏教版/提高班/四星学霸/K12/学龄儿童家长</t>
        </is>
      </c>
      <c r="E1633" t="inlineStr">
        <is>
          <t>https://dcn8qexvg13r.feishu.cn/share/base/query/shrcnMqxwwRkV3NUIUxPeab3sec</t>
        </is>
      </c>
      <c r="F1633" t="inlineStr">
        <is>
          <t>请添加微信：k846211</t>
        </is>
      </c>
      <c r="G1633" t="inlineStr">
        <is>
          <t>2026-03-04</t>
        </is>
      </c>
    </row>
    <row r="1634" ht="25.5" customHeight="1">
      <c r="A1634" t="inlineStr">
        <is>
          <t>3下英语人教学霸提优大试卷.pdf</t>
        </is>
      </c>
      <c r="B1634" s="2" t="str">
        <f>=HYPERLINK("https://pan.quark.cn/s/47da4c6f2d80", "https://pan.quark.cn/s/47da4c6f2d80")</f>
        <v>https://pan.quark.cn/s/47da4c6f2d80</v>
      </c>
      <c r="C1634" t="inlineStr">
        <is>
          <t>34.3MB</t>
        </is>
      </c>
      <c r="D1634" t="inlineStr">
        <is>
          <t>/三年级英语/人教版/提优训练/试卷/K12/学龄儿童家长</t>
        </is>
      </c>
      <c r="E1634" t="inlineStr">
        <is>
          <t>https://dcn8qexvg13r.feishu.cn/share/base/query/shrcnMqxwwRkV3NUIUxPeab3sec</t>
        </is>
      </c>
      <c r="F1634" t="inlineStr">
        <is>
          <t>请添加微信：k846211</t>
        </is>
      </c>
      <c r="G1634" t="inlineStr">
        <is>
          <t>2026-03-04</t>
        </is>
      </c>
    </row>
    <row r="1635" ht="25.5" customHeight="1">
      <c r="A1635" t="inlineStr">
        <is>
          <t>4下人教英语学霸提优大试卷.pdf</t>
        </is>
      </c>
      <c r="B1635" s="2" t="str">
        <f>=HYPERLINK("https://pan.quark.cn/s/80ad10e586db", "https://pan.quark.cn/s/80ad10e586db")</f>
        <v>https://pan.quark.cn/s/80ad10e586db</v>
      </c>
      <c r="C1635" t="inlineStr">
        <is>
          <t>38.4MB</t>
        </is>
      </c>
      <c r="D1635" t="inlineStr">
        <is>
          <t>/小学英语/4年级下册/人教版/提优训练/学霸试卷/K12/学龄儿童家长</t>
        </is>
      </c>
      <c r="E1635" t="inlineStr">
        <is>
          <t>https://dcn8qexvg13r.feishu.cn/share/base/query/shrcnMqxwwRkV3NUIUxPeab3sec</t>
        </is>
      </c>
      <c r="F1635" t="inlineStr">
        <is>
          <t>请添加微信：k846211</t>
        </is>
      </c>
      <c r="G1635" t="inlineStr">
        <is>
          <t>2026-03-04</t>
        </is>
      </c>
    </row>
    <row r="1636" ht="25.5" customHeight="1">
      <c r="A1636" t="inlineStr">
        <is>
          <t>5下英语学霸提优大试卷人教.pdf</t>
        </is>
      </c>
      <c r="B1636" s="2" t="str">
        <f>=HYPERLINK("https://pan.quark.cn/s/d45f104b0f3f", "https://pan.quark.cn/s/d45f104b0f3f")</f>
        <v>https://pan.quark.cn/s/d45f104b0f3f</v>
      </c>
      <c r="C1636" t="inlineStr">
        <is>
          <t>40.7MB</t>
        </is>
      </c>
      <c r="D1636" t="inlineStr">
        <is>
          <t>/5年级下册/英语/人教版/学霸提优/试卷/K12/学龄儿童家长</t>
        </is>
      </c>
      <c r="E1636" t="inlineStr">
        <is>
          <t>https://dcn8qexvg13r.feishu.cn/share/base/query/shrcnMqxwwRkV3NUIUxPeab3sec</t>
        </is>
      </c>
      <c r="F1636" t="inlineStr">
        <is>
          <t>请添加微信：k846211</t>
        </is>
      </c>
      <c r="G1636" t="inlineStr">
        <is>
          <t>2026-03-04</t>
        </is>
      </c>
    </row>
    <row r="1637" ht="25.5" customHeight="1">
      <c r="A1637" t="inlineStr">
        <is>
          <t>6下英语学霸提优大试卷人教.pdf</t>
        </is>
      </c>
      <c r="B1637" s="2" t="str">
        <f>=HYPERLINK("https://pan.quark.cn/s/c7230eb0f94f", "https://pan.quark.cn/s/c7230eb0f94f")</f>
        <v>https://pan.quark.cn/s/c7230eb0f94f</v>
      </c>
      <c r="C1637" t="inlineStr">
        <is>
          <t>40.8MB</t>
        </is>
      </c>
      <c r="D1637" t="inlineStr">
        <is>
          <t>/小学英语/六年级下册/人教/提优训练/试卷/K12/学龄儿童家长</t>
        </is>
      </c>
      <c r="E1637" t="inlineStr">
        <is>
          <t>https://dcn8qexvg13r.feishu.cn/share/base/query/shrcnMqxwwRkV3NUIUxPeab3sec</t>
        </is>
      </c>
      <c r="F1637" t="inlineStr">
        <is>
          <t>请添加微信：k846211</t>
        </is>
      </c>
      <c r="G1637" t="inlineStr">
        <is>
          <t>2026-03-04</t>
        </is>
      </c>
    </row>
    <row r="1638" ht="25.5" customHeight="1">
      <c r="A1638" t="inlineStr">
        <is>
          <t>《王朝霞阅读训练100篇超详解》1-6年级语文阅读理解练习</t>
        </is>
      </c>
      <c r="B1638" s="2" t="str">
        <f>=HYPERLINK("https://pan.quark.cn/s/104c0fdd94e9", "https://pan.quark.cn/s/104c0fdd94e9")</f>
        <v>https://pan.quark.cn/s/104c0fdd94e9</v>
      </c>
      <c r="C1638" t="inlineStr">
        <is>
          <t>1.2GB</t>
        </is>
      </c>
      <c r="D1638" t="inlineStr">
        <is>
          <t>/语文阅读理解/练习册/超详解/K12/学龄儿童家长</t>
        </is>
      </c>
      <c r="E1638" t="inlineStr">
        <is>
          <t>https://dcn8qexvg13r.feishu.cn/share/base/query/shrcnMqxwwRkV3NUIUxPeab3sec</t>
        </is>
      </c>
      <c r="F1638" t="inlineStr">
        <is>
          <t>请添加微信：k846211</t>
        </is>
      </c>
      <c r="G1638" t="inlineStr">
        <is>
          <t>2026-03-06</t>
        </is>
      </c>
    </row>
    <row r="1639" ht="25.5" customHeight="1">
      <c r="A1639" t="inlineStr">
        <is>
          <t>26春北师大版数学1-6年级下册《53天天练》456</t>
        </is>
      </c>
      <c r="B1639" s="2" t="str">
        <f>=HYPERLINK("https://pan.quark.cn/s/b00bdda5e8db", "https://pan.quark.cn/s/b00bdda5e8db")</f>
        <v>https://pan.quark.cn/s/b00bdda5e8db</v>
      </c>
      <c r="C1639" t="inlineStr">
        <is>
          <t>14.8GB</t>
        </is>
      </c>
      <c r="D1639" t="inlineStr">
        <is>
          <t>/北师大版数学/1-6年级下册/53天天练/练习册/K12/学龄儿童家长</t>
        </is>
      </c>
      <c r="E1639" t="inlineStr">
        <is>
          <t>https://dcn8qexvg13r.feishu.cn/share/base/query/shrcnMqxwwRkV3NUIUxPeab3sec</t>
        </is>
      </c>
      <c r="F1639" t="inlineStr">
        <is>
          <t>请添加微信：k846211</t>
        </is>
      </c>
      <c r="G1639" t="inlineStr">
        <is>
          <t>2026-03-06</t>
        </is>
      </c>
    </row>
    <row r="1640" ht="25.5" customHeight="1">
      <c r="A1640" t="inlineStr">
        <is>
          <t>一年级【完结】</t>
        </is>
      </c>
      <c r="B1640" s="2" t="str">
        <f>=HYPERLINK("https://pan.quark.cn/s/d4a24fbe9ee1", "https://pan.quark.cn/s/d4a24fbe9ee1")</f>
        <v>https://pan.quark.cn/s/d4a24fbe9ee1</v>
      </c>
      <c r="C1640" t="inlineStr">
        <is>
          <t>3.5GB</t>
        </is>
      </c>
      <c r="D1640" t="inlineStr">
        <is>
          <t>/一年级/完结/学龄儿童家长</t>
        </is>
      </c>
      <c r="E1640" t="inlineStr">
        <is>
          <t>https://dcn8qexvg13r.feishu.cn/share/base/query/shrcnMqxwwRkV3NUIUxPeab3sec</t>
        </is>
      </c>
      <c r="F1640" t="inlineStr">
        <is>
          <t>请添加微信：k846211</t>
        </is>
      </c>
      <c r="G1640" t="inlineStr">
        <is>
          <t>2026-03-06</t>
        </is>
      </c>
    </row>
    <row r="1641" ht="25.5" customHeight="1">
      <c r="A1641" t="inlineStr">
        <is>
          <t>2026春二下语文课后三表(1).pdf</t>
        </is>
      </c>
      <c r="B1641" s="2" t="str">
        <f>=HYPERLINK("https://pan.quark.cn/s/c5bc66cbcb3b", "https://pan.quark.cn/s/c5bc66cbcb3b")</f>
        <v>https://pan.quark.cn/s/c5bc66cbcb3b</v>
      </c>
      <c r="C1641" t="inlineStr">
        <is>
          <t>70.2MB</t>
        </is>
      </c>
      <c r="D1641" t="inlineStr">
        <is>
          <t>/二年级下册/语文/课后三表/2026春/学龄儿童家长/K12</t>
        </is>
      </c>
      <c r="E1641" t="inlineStr">
        <is>
          <t>https://dcn8qexvg13r.feishu.cn/share/base/query/shrcnMqxwwRkV3NUIUxPeab3sec</t>
        </is>
      </c>
      <c r="F1641" t="inlineStr">
        <is>
          <t>请添加微信：k846211</t>
        </is>
      </c>
      <c r="G1641" t="inlineStr">
        <is>
          <t>2026-03-06</t>
        </is>
      </c>
    </row>
    <row r="1642" ht="25.5" customHeight="1">
      <c r="A1642" t="inlineStr">
        <is>
          <t>小学语文《课后三表专项练习》1-6下册（26春）(2)</t>
        </is>
      </c>
      <c r="B1642" s="2" t="str">
        <f>=HYPERLINK("https://pan.quark.cn/s/66bc4f7e8b08", "https://pan.quark.cn/s/66bc4f7e8b08")</f>
        <v>https://pan.quark.cn/s/66bc4f7e8b08</v>
      </c>
      <c r="C1642" t="inlineStr">
        <is>
          <t>22.0MB</t>
        </is>
      </c>
      <c r="D1642" t="inlineStr">
        <is>
          <t>/小学语文/课后练习/专项练习/1-6年级/学龄儿童家长/K12</t>
        </is>
      </c>
      <c r="E1642" t="inlineStr">
        <is>
          <t>https://dcn8qexvg13r.feishu.cn/share/base/query/shrcnMqxwwRkV3NUIUxPeab3sec</t>
        </is>
      </c>
      <c r="F1642" t="inlineStr">
        <is>
          <t>请添加微信：k846211</t>
        </is>
      </c>
      <c r="G1642" t="inlineStr">
        <is>
          <t>2026-03-06</t>
        </is>
      </c>
    </row>
    <row r="1643" ht="25.5" customHeight="1">
      <c r="A1643" t="inlineStr">
        <is>
          <t>人教版数学1-6年级下册全册知识点总结</t>
        </is>
      </c>
      <c r="B1643" s="2" t="str">
        <f>=HYPERLINK("https://pan.quark.cn/s/fc6f20132125", "https://pan.quark.cn/s/fc6f20132125")</f>
        <v>https://pan.quark.cn/s/fc6f20132125</v>
      </c>
      <c r="C1643" t="inlineStr">
        <is>
          <t>5.8MB</t>
        </is>
      </c>
      <c r="D1643" t="inlineStr">
        <is>
          <t>/人教版数学/1-6年级下册/知识点总结/小学数学/K12/学龄儿童家长</t>
        </is>
      </c>
      <c r="E1643" t="inlineStr">
        <is>
          <t>https://dcn8qexvg13r.feishu.cn/share/base/query/shrcnMqxwwRkV3NUIUxPeab3sec</t>
        </is>
      </c>
      <c r="F1643" t="inlineStr">
        <is>
          <t>请添加微信：k846211</t>
        </is>
      </c>
      <c r="G1643" t="inlineStr">
        <is>
          <t>2026-03-06</t>
        </is>
      </c>
    </row>
    <row r="1644" ht="25.5" customHeight="1">
      <c r="A1644" t="inlineStr">
        <is>
          <t>冀教版小学数学1-6年级下册全册知识点</t>
        </is>
      </c>
      <c r="B1644" s="2" t="str">
        <f>=HYPERLINK("https://pan.quark.cn/s/8b2573b4ccd7", "https://pan.quark.cn/s/8b2573b4ccd7")</f>
        <v>https://pan.quark.cn/s/8b2573b4ccd7</v>
      </c>
      <c r="C1644" t="inlineStr">
        <is>
          <t>99.5KB</t>
        </is>
      </c>
      <c r="D1644" t="inlineStr">
        <is>
          <t>/冀教版/小学数学/1-6年级下册/知识点/K12/学龄儿童家长</t>
        </is>
      </c>
      <c r="E1644" t="inlineStr">
        <is>
          <t>https://dcn8qexvg13r.feishu.cn/share/base/query/shrcnMqxwwRkV3NUIUxPeab3sec</t>
        </is>
      </c>
      <c r="F1644" t="inlineStr">
        <is>
          <t>请添加微信：k846211</t>
        </is>
      </c>
      <c r="G1644" t="inlineStr">
        <is>
          <t>2026-03-06</t>
        </is>
      </c>
    </row>
    <row r="1645" ht="25.5" customHeight="1">
      <c r="A1645" t="inlineStr">
        <is>
          <t>苏教版小学数学1-6年级下册全册知识点</t>
        </is>
      </c>
      <c r="B1645" s="2" t="str">
        <f>=HYPERLINK("https://pan.quark.cn/s/bf3b37a3ef20", "https://pan.quark.cn/s/bf3b37a3ef20")</f>
        <v>https://pan.quark.cn/s/bf3b37a3ef20</v>
      </c>
      <c r="C1645" t="inlineStr">
        <is>
          <t>409.1KB</t>
        </is>
      </c>
      <c r="D1645" t="inlineStr">
        <is>
          <t>/苏教版/小学数学/知识点/1-6年级下册/K12/学龄儿童家长</t>
        </is>
      </c>
      <c r="E1645" t="inlineStr">
        <is>
          <t>https://dcn8qexvg13r.feishu.cn/share/base/query/shrcnMqxwwRkV3NUIUxPeab3sec</t>
        </is>
      </c>
      <c r="F1645" t="inlineStr">
        <is>
          <t>请添加微信：k846211</t>
        </is>
      </c>
      <c r="G1645" t="inlineStr">
        <is>
          <t>2026-03-06</t>
        </is>
      </c>
    </row>
    <row r="1646" ht="25.5" customHeight="1">
      <c r="A1646" t="inlineStr">
        <is>
          <t>北师大版小学数学1-6年级下册全册知识点</t>
        </is>
      </c>
      <c r="B1646" s="2" t="str">
        <f>=HYPERLINK("https://pan.quark.cn/s/a78716d59e7b", "https://pan.quark.cn/s/a78716d59e7b")</f>
        <v>https://pan.quark.cn/s/a78716d59e7b</v>
      </c>
      <c r="C1646" t="inlineStr">
        <is>
          <t>519.2KB</t>
        </is>
      </c>
      <c r="D1646" t="inlineStr">
        <is>
          <t>/北师大版/小学数学/下册/知识点/K12/学龄儿童家长</t>
        </is>
      </c>
      <c r="E1646" t="inlineStr">
        <is>
          <t>https://dcn8qexvg13r.feishu.cn/share/base/query/shrcnMqxwwRkV3NUIUxPeab3sec</t>
        </is>
      </c>
      <c r="F1646" t="inlineStr">
        <is>
          <t>请添加微信：k846211</t>
        </is>
      </c>
      <c r="G1646" t="inlineStr">
        <is>
          <t>2026-03-06</t>
        </is>
      </c>
    </row>
    <row r="1647" ht="25.5" customHeight="1">
      <c r="A1647" t="inlineStr">
        <is>
          <t>沪教版小学数学1-5年级下册知识点</t>
        </is>
      </c>
      <c r="B1647" s="2" t="str">
        <f>=HYPERLINK("https://pan.quark.cn/s/5fe53abbfa41", "https://pan.quark.cn/s/5fe53abbfa41")</f>
        <v>https://pan.quark.cn/s/5fe53abbfa41</v>
      </c>
      <c r="C1647" t="inlineStr">
        <is>
          <t>234.1KB</t>
        </is>
      </c>
      <c r="D1647" t="inlineStr">
        <is>
          <t>/沪教版/小学数学/1-5年级下册/知识点/K12/学龄儿童家长</t>
        </is>
      </c>
      <c r="E1647" t="inlineStr">
        <is>
          <t>https://dcn8qexvg13r.feishu.cn/share/base/query/shrcnMqxwwRkV3NUIUxPeab3sec</t>
        </is>
      </c>
      <c r="F1647" t="inlineStr">
        <is>
          <t>请添加微信：k846211</t>
        </is>
      </c>
      <c r="G1647" t="inlineStr">
        <is>
          <t>2026-03-06</t>
        </is>
      </c>
    </row>
    <row r="1648" ht="25.5" customHeight="1">
      <c r="A1648" t="inlineStr">
        <is>
          <t>西师大版小学数学1-6年级下册全册知识点</t>
        </is>
      </c>
      <c r="B1648" s="2" t="str">
        <f>=HYPERLINK("https://pan.quark.cn/s/596017271001", "https://pan.quark.cn/s/596017271001")</f>
        <v>https://pan.quark.cn/s/596017271001</v>
      </c>
      <c r="C1648" t="inlineStr">
        <is>
          <t>615.7KB</t>
        </is>
      </c>
      <c r="D1648" t="inlineStr">
        <is>
          <t>/小学数学/知识点/西师大版/1-6年级下册/K12/学龄儿童家长</t>
        </is>
      </c>
      <c r="E1648" t="inlineStr">
        <is>
          <t>https://dcn8qexvg13r.feishu.cn/share/base/query/shrcnMqxwwRkV3NUIUxPeab3sec</t>
        </is>
      </c>
      <c r="F1648" t="inlineStr">
        <is>
          <t>请添加微信：k846211</t>
        </is>
      </c>
      <c r="G1648" t="inlineStr">
        <is>
          <t>2026-03-06</t>
        </is>
      </c>
    </row>
    <row r="1649" ht="25.5" customHeight="1">
      <c r="A1649" t="inlineStr">
        <is>
          <t>北京课改版小学数学1-6年级下册全册知识点</t>
        </is>
      </c>
      <c r="B1649" s="2" t="str">
        <f>=HYPERLINK("https://pan.quark.cn/s/220f49a735e7", "https://pan.quark.cn/s/220f49a735e7")</f>
        <v>https://pan.quark.cn/s/220f49a735e7</v>
      </c>
      <c r="C1649" t="inlineStr">
        <is>
          <t>34.5MB</t>
        </is>
      </c>
      <c r="D1649" t="inlineStr">
        <is>
          <t>/小学数学/知识点/北京课改版/1-6年级下册/K12/学龄儿童家长</t>
        </is>
      </c>
      <c r="E1649" t="inlineStr">
        <is>
          <t>https://dcn8qexvg13r.feishu.cn/share/base/query/shrcnMqxwwRkV3NUIUxPeab3sec</t>
        </is>
      </c>
      <c r="F1649" t="inlineStr">
        <is>
          <t>请添加微信：k846211</t>
        </is>
      </c>
      <c r="G1649" t="inlineStr">
        <is>
          <t>2026-03-06</t>
        </is>
      </c>
    </row>
    <row r="1650" ht="25.5" customHeight="1">
      <c r="A1650" t="inlineStr">
        <is>
          <t>青岛版(六三制）数学1-6年级下册知识点</t>
        </is>
      </c>
      <c r="B1650" s="2" t="str">
        <f>=HYPERLINK("https://pan.quark.cn/s/9a2d40299974", "https://pan.quark.cn/s/9a2d40299974")</f>
        <v>https://pan.quark.cn/s/9a2d40299974</v>
      </c>
      <c r="C1650" t="inlineStr">
        <is>
          <t>118.2KB</t>
        </is>
      </c>
      <c r="D1650" t="inlineStr">
        <is>
          <t>/青岛版数学/六三制/1-6年级下册/数学知识点/K12/学龄儿童家长</t>
        </is>
      </c>
      <c r="E1650" t="inlineStr">
        <is>
          <t>https://dcn8qexvg13r.feishu.cn/share/base/query/shrcnMqxwwRkV3NUIUxPeab3sec</t>
        </is>
      </c>
      <c r="F1650" t="inlineStr">
        <is>
          <t>请添加微信：k846211</t>
        </is>
      </c>
      <c r="G1650" t="inlineStr">
        <is>
          <t>2026-03-06</t>
        </is>
      </c>
    </row>
    <row r="1651" ht="25.5" customHeight="1">
      <c r="A1651" t="inlineStr">
        <is>
          <t>【凯叔四大名著】系列</t>
        </is>
      </c>
      <c r="B1651" s="2" t="str">
        <f>=HYPERLINK("https://pan.quark.cn/s/2ff8df034f94", "https://pan.quark.cn/s/2ff8df034f94")</f>
        <v>https://pan.quark.cn/s/2ff8df034f94</v>
      </c>
      <c r="C1651" t="inlineStr">
        <is>
          <t>11.4GB</t>
        </is>
      </c>
      <c r="D1651" t="inlineStr">
        <is>
          <t>/四大名著/凯叔/儿童故事/传统文化/K12/学龄儿童家长</t>
        </is>
      </c>
      <c r="E1651" t="inlineStr">
        <is>
          <t>https://dcn8qexvg13r.feishu.cn/share/base/query/shrcnMqxwwRkV3NUIUxPeab3sec</t>
        </is>
      </c>
      <c r="F1651" t="inlineStr">
        <is>
          <t>请添加微信：k846211</t>
        </is>
      </c>
      <c r="G1651" t="inlineStr">
        <is>
          <t>2026-03-07</t>
        </is>
      </c>
    </row>
    <row r="1652" ht="25.5" customHeight="1">
      <c r="A1652" t="inlineStr">
        <is>
          <t>👍陈心老师的《阅读理解36计》简直是语文提分宝藏！(1)</t>
        </is>
      </c>
      <c r="B1652" s="2" t="str">
        <f>=HYPERLINK("https://pan.quark.cn/s/fc029f9eda04", "https://pan.quark.cn/s/fc029f9eda04")</f>
        <v>https://pan.quark.cn/s/fc029f9eda04</v>
      </c>
      <c r="C1652" t="inlineStr">
        <is>
          <t>15.7GB</t>
        </is>
      </c>
      <c r="D1652" t="inlineStr">
        <is>
          <t>/阅读理解/提分/语文/K12/学龄儿童家长</t>
        </is>
      </c>
      <c r="E1652" t="inlineStr">
        <is>
          <t>https://dcn8qexvg13r.feishu.cn/share/base/query/shrcnMqxwwRkV3NUIUxPeab3sec</t>
        </is>
      </c>
      <c r="F1652" t="inlineStr">
        <is>
          <t>请添加微信：k846211</t>
        </is>
      </c>
      <c r="G1652" t="inlineStr">
        <is>
          <t>2026-03-07</t>
        </is>
      </c>
    </row>
    <row r="1653" ht="25.5" customHeight="1">
      <c r="A1653" t="inlineStr">
        <is>
          <t>一年级【完结】</t>
        </is>
      </c>
      <c r="B1653" s="2" t="str">
        <f>=HYPERLINK("https://pan.quark.cn/s/e0358c65aa83", "https://pan.quark.cn/s/e0358c65aa83")</f>
        <v>https://pan.quark.cn/s/e0358c65aa83</v>
      </c>
      <c r="C1653" t="inlineStr">
        <is>
          <t>3.5GB</t>
        </is>
      </c>
      <c r="D1653" t="inlineStr">
        <is>
          <t>/一年级/完结/K12/学龄儿童家长</t>
        </is>
      </c>
      <c r="E1653" t="inlineStr">
        <is>
          <t>https://dcn8qexvg13r.feishu.cn/share/base/query/shrcnMqxwwRkV3NUIUxPeab3sec</t>
        </is>
      </c>
      <c r="F1653" t="inlineStr">
        <is>
          <t>请添加微信：k846211</t>
        </is>
      </c>
      <c r="G1653" t="inlineStr">
        <is>
          <t>2026-03-07</t>
        </is>
      </c>
    </row>
    <row r="1654" ht="25.5" customHeight="1">
      <c r="A1654" t="inlineStr">
        <is>
          <t>🌲🐴2026《学习之星•真题的逻辑》（7年级下）（语文）</t>
        </is>
      </c>
      <c r="B1654" s="2" t="str">
        <f>=HYPERLINK("https://pan.quark.cn/s/51082f257fe9", "https://pan.quark.cn/s/51082f257fe9")</f>
        <v>https://pan.quark.cn/s/51082f257fe9</v>
      </c>
      <c r="C1654" t="inlineStr">
        <is>
          <t>2.5GB</t>
        </is>
      </c>
      <c r="D1654" t="inlineStr">
        <is>
          <t>/学习之星/真题/语文/7年级下/K12/学龄儿童家长</t>
        </is>
      </c>
      <c r="E1654" t="inlineStr">
        <is>
          <t>https://dcn8qexvg13r.feishu.cn/share/base/query/shrcnMqxwwRkV3NUIUxPeab3sec</t>
        </is>
      </c>
      <c r="F1654" t="inlineStr">
        <is>
          <t>请添加微信：k846211</t>
        </is>
      </c>
      <c r="G1654" t="inlineStr">
        <is>
          <t>2026-03-07</t>
        </is>
      </c>
    </row>
    <row r="1655" ht="25.5" customHeight="1">
      <c r="A1655" t="inlineStr">
        <is>
          <t>6下语文周末小测卷.pdf</t>
        </is>
      </c>
      <c r="B1655" s="2" t="str">
        <f>=HYPERLINK("https://pan.quark.cn/s/29f678ac0ff7", "https://pan.quark.cn/s/29f678ac0ff7")</f>
        <v>https://pan.quark.cn/s/29f678ac0ff7</v>
      </c>
      <c r="C1655" t="inlineStr">
        <is>
          <t>495.1MB</t>
        </is>
      </c>
      <c r="D1655" t="inlineStr">
        <is>
          <t>/6年级下册/语文/周末小测/K12/学龄儿童家长</t>
        </is>
      </c>
      <c r="E1655" t="inlineStr">
        <is>
          <t>https://dcn8qexvg13r.feishu.cn/share/base/query/shrcnMqxwwRkV3NUIUxPeab3sec</t>
        </is>
      </c>
      <c r="F1655" t="inlineStr">
        <is>
          <t>请添加微信：k846211</t>
        </is>
      </c>
      <c r="G1655" t="inlineStr">
        <is>
          <t>2026-03-07</t>
        </is>
      </c>
    </row>
    <row r="1656" ht="25.5" customHeight="1">
      <c r="A1656" t="inlineStr">
        <is>
          <t>一下26春数学北师一本周末小测卷.pdf</t>
        </is>
      </c>
      <c r="B1656" s="2" t="str">
        <f>=HYPERLINK("https://pan.quark.cn/s/4a4afa87a06c", "https://pan.quark.cn/s/4a4afa87a06c")</f>
        <v>https://pan.quark.cn/s/4a4afa87a06c</v>
      </c>
      <c r="C1656" t="inlineStr">
        <is>
          <t>273.8MB</t>
        </is>
      </c>
      <c r="D1656" t="inlineStr">
        <is>
          <t>/26春/数学/北师大版/周末小测卷/K12/学龄儿童家长</t>
        </is>
      </c>
      <c r="E1656" t="inlineStr">
        <is>
          <t>https://dcn8qexvg13r.feishu.cn/share/base/query/shrcnMqxwwRkV3NUIUxPeab3sec</t>
        </is>
      </c>
      <c r="F1656" t="inlineStr">
        <is>
          <t>请添加微信：k846211</t>
        </is>
      </c>
      <c r="G1656" t="inlineStr">
        <is>
          <t>2026-03-07</t>
        </is>
      </c>
    </row>
    <row r="1657" ht="25.5" customHeight="1">
      <c r="A1657" t="inlineStr">
        <is>
          <t>快速部署OpenClaw（Clawdbot）极简部署教程</t>
        </is>
      </c>
      <c r="B1657" s="2" t="str">
        <f>=HYPERLINK("https://pan.quark.cn/s/8de28b3410d8", "https://pan.quark.cn/s/8de28b3410d8")</f>
        <v>https://pan.quark.cn/s/8de28b3410d8</v>
      </c>
      <c r="C1657" t="inlineStr">
        <is>
          <t>329.1MB</t>
        </is>
      </c>
      <c r="D1657" t="inlineStr">
        <is>
          <t>/OpenClaw/Clawdbot/部署教程/极简部署/编程</t>
        </is>
      </c>
      <c r="E1657" t="inlineStr">
        <is>
          <t>https://dcn8qexvg13r.feishu.cn/share/base/query/shrcnMqxwwRkV3NUIUxPeab3sec</t>
        </is>
      </c>
      <c r="F1657" t="inlineStr">
        <is>
          <t>请添加微信：k846211</t>
        </is>
      </c>
      <c r="G1657" t="inlineStr">
        <is>
          <t>2026-03-09</t>
        </is>
      </c>
    </row>
    <row r="1658" ht="25.5" customHeight="1">
      <c r="A1658" t="inlineStr">
        <is>
          <t>Coze零基础开发Agent智能体</t>
        </is>
      </c>
      <c r="B1658" s="2" t="str">
        <f>=HYPERLINK("https://pan.quark.cn/s/6d599779efde", "https://pan.quark.cn/s/6d599779efde")</f>
        <v>https://pan.quark.cn/s/6d599779efde</v>
      </c>
      <c r="C1658" t="inlineStr">
        <is>
          <t>1.8GB</t>
        </is>
      </c>
      <c r="D1658" t="inlineStr">
        <is>
          <t>/Coze/Agent智能体/零基础/开发/编程/技能入门</t>
        </is>
      </c>
      <c r="E1658" t="inlineStr">
        <is>
          <t>https://dcn8qexvg13r.feishu.cn/share/base/query/shrcnMqxwwRkV3NUIUxPeab3sec</t>
        </is>
      </c>
      <c r="F1658" t="inlineStr">
        <is>
          <t>请添加微信：k846211</t>
        </is>
      </c>
      <c r="G1658" t="inlineStr">
        <is>
          <t>2026-03-09</t>
        </is>
      </c>
    </row>
    <row r="1659" ht="25.5" customHeight="1">
      <c r="A1659" t="inlineStr">
        <is>
          <t>100+COZE扣子工作流合集</t>
        </is>
      </c>
      <c r="B1659" s="2" t="str">
        <f>=HYPERLINK("https://pan.quark.cn/s/1eda42678923", "https://pan.quark.cn/s/1eda42678923")</f>
        <v>https://pan.quark.cn/s/1eda42678923</v>
      </c>
      <c r="C1659" t="inlineStr">
        <is>
          <t>143.1MB</t>
        </is>
      </c>
      <c r="D1659" t="inlineStr">
        <is>
          <t>/COZE/扣子/工作流/效率工具/白领/管理者</t>
        </is>
      </c>
      <c r="E1659" t="inlineStr">
        <is>
          <t>https://dcn8qexvg13r.feishu.cn/share/base/query/shrcnMqxwwRkV3NUIUxPeab3sec</t>
        </is>
      </c>
      <c r="F1659" t="inlineStr">
        <is>
          <t>请添加微信：k846211</t>
        </is>
      </c>
      <c r="G1659" t="inlineStr">
        <is>
          <t>2026-03-09</t>
        </is>
      </c>
    </row>
    <row r="1660" ht="25.5" customHeight="1">
      <c r="A1660" t="inlineStr">
        <is>
          <t>26春 北师数学《学霸提优大试卷》1下.pdf</t>
        </is>
      </c>
      <c r="B1660" s="2" t="str">
        <f>=HYPERLINK("https://pan.quark.cn/s/d716d440e470", "https://pan.quark.cn/s/d716d440e470")</f>
        <v>https://pan.quark.cn/s/d716d440e470</v>
      </c>
      <c r="C1660" t="inlineStr">
        <is>
          <t>75.7MB</t>
        </is>
      </c>
      <c r="D1660" t="inlineStr">
        <is>
          <t>/北师大版/数学/一年级下册/提优试卷/K12/学龄儿童家长</t>
        </is>
      </c>
      <c r="E1660" t="inlineStr">
        <is>
          <t>https://dcn8qexvg13r.feishu.cn/share/base/query/shrcnMqxwwRkV3NUIUxPeab3sec</t>
        </is>
      </c>
      <c r="F1660" t="inlineStr">
        <is>
          <t>请添加微信：k846211</t>
        </is>
      </c>
      <c r="G1660" t="inlineStr">
        <is>
          <t>2026-03-10</t>
        </is>
      </c>
    </row>
    <row r="1661" ht="25.5" customHeight="1">
      <c r="A1661" t="inlineStr">
        <is>
          <t>26春 北师数学《学霸提优大试卷》2下.pdf</t>
        </is>
      </c>
      <c r="B1661" s="2" t="str">
        <f>=HYPERLINK("https://pan.quark.cn/s/24623260911b", "https://pan.quark.cn/s/24623260911b")</f>
        <v>https://pan.quark.cn/s/24623260911b</v>
      </c>
      <c r="C1661" t="inlineStr">
        <is>
          <t>85.9MB</t>
        </is>
      </c>
      <c r="D1661" t="inlineStr">
        <is>
          <t>/北师大版数学/二年级下册/学霸提优/试卷/K12/学龄儿童家长</t>
        </is>
      </c>
      <c r="E1661" t="inlineStr">
        <is>
          <t>https://dcn8qexvg13r.feishu.cn/share/base/query/shrcnMqxwwRkV3NUIUxPeab3sec</t>
        </is>
      </c>
      <c r="F1661" t="inlineStr">
        <is>
          <t>请添加微信：k846211</t>
        </is>
      </c>
      <c r="G1661" t="inlineStr">
        <is>
          <t>2026-03-10</t>
        </is>
      </c>
    </row>
    <row r="1662" ht="25.5" customHeight="1">
      <c r="A1662" t="inlineStr">
        <is>
          <t>26春 北师数学《学霸提优大试卷》3下.pdf</t>
        </is>
      </c>
      <c r="B1662" s="2" t="str">
        <f>=HYPERLINK("https://pan.quark.cn/s/04767ac2956b", "https://pan.quark.cn/s/04767ac2956b")</f>
        <v>https://pan.quark.cn/s/04767ac2956b</v>
      </c>
      <c r="C1662" t="inlineStr">
        <is>
          <t>102.1MB</t>
        </is>
      </c>
      <c r="D1662" t="inlineStr">
        <is>
          <t>/北师大版/数学/三年级下册/提优试卷/K12/学龄儿童家长</t>
        </is>
      </c>
      <c r="E1662" t="inlineStr">
        <is>
          <t>https://dcn8qexvg13r.feishu.cn/share/base/query/shrcnMqxwwRkV3NUIUxPeab3sec</t>
        </is>
      </c>
      <c r="F1662" t="inlineStr">
        <is>
          <t>请添加微信：k846211</t>
        </is>
      </c>
      <c r="G1662" t="inlineStr">
        <is>
          <t>2026-03-10</t>
        </is>
      </c>
    </row>
    <row r="1663" ht="25.5" customHeight="1">
      <c r="A1663" t="inlineStr">
        <is>
          <t>26春 北师数学《学霸提优大试卷》4下.pdf</t>
        </is>
      </c>
      <c r="B1663" s="2" t="str">
        <f>=HYPERLINK("https://pan.quark.cn/s/095d524b5ac2", "https://pan.quark.cn/s/095d524b5ac2")</f>
        <v>https://pan.quark.cn/s/095d524b5ac2</v>
      </c>
      <c r="C1663" t="inlineStr">
        <is>
          <t>93.4MB</t>
        </is>
      </c>
      <c r="D1663" t="inlineStr">
        <is>
          <t>/北师大版/四年级下册/数学/学霸提优/K12/学龄儿童家长</t>
        </is>
      </c>
      <c r="E1663" t="inlineStr">
        <is>
          <t>https://dcn8qexvg13r.feishu.cn/share/base/query/shrcnMqxwwRkV3NUIUxPeab3sec</t>
        </is>
      </c>
      <c r="F1663" t="inlineStr">
        <is>
          <t>请添加微信：k846211</t>
        </is>
      </c>
      <c r="G1663" t="inlineStr">
        <is>
          <t>2026-03-10</t>
        </is>
      </c>
    </row>
    <row r="1664" ht="25.5" customHeight="1">
      <c r="A1664" t="inlineStr">
        <is>
          <t>26春 北师数学《学霸提优大试卷》5下.pdf</t>
        </is>
      </c>
      <c r="B1664" s="2" t="str">
        <f>=HYPERLINK("https://pan.quark.cn/s/d4c63f19d3c1", "https://pan.quark.cn/s/d4c63f19d3c1")</f>
        <v>https://pan.quark.cn/s/d4c63f19d3c1</v>
      </c>
      <c r="C1664" t="inlineStr">
        <is>
          <t>91.5MB</t>
        </is>
      </c>
      <c r="D1664" t="inlineStr">
        <is>
          <t>/北师大版数学/五年级下册/学霸提优/试卷/K12/学龄儿童家长</t>
        </is>
      </c>
      <c r="E1664" t="inlineStr">
        <is>
          <t>https://dcn8qexvg13r.feishu.cn/share/base/query/shrcnMqxwwRkV3NUIUxPeab3sec</t>
        </is>
      </c>
      <c r="F1664" t="inlineStr">
        <is>
          <t>请添加微信：k846211</t>
        </is>
      </c>
      <c r="G1664" t="inlineStr">
        <is>
          <t>2026-03-10</t>
        </is>
      </c>
    </row>
    <row r="1665" ht="25.5" customHeight="1">
      <c r="A1665" t="inlineStr">
        <is>
          <t>26春 北师数学《学霸提优大试卷》6下.pdf</t>
        </is>
      </c>
      <c r="B1665" s="2" t="str">
        <f>=HYPERLINK("https://pan.quark.cn/s/61100936e79b", "https://pan.quark.cn/s/61100936e79b")</f>
        <v>https://pan.quark.cn/s/61100936e79b</v>
      </c>
      <c r="C1665" t="inlineStr">
        <is>
          <t>94.9MB</t>
        </is>
      </c>
      <c r="D1665" t="inlineStr">
        <is>
          <t>/北师大版/数学/六年级下册/学霸提优/K12/学龄儿童家长</t>
        </is>
      </c>
      <c r="E1665" t="inlineStr">
        <is>
          <t>https://dcn8qexvg13r.feishu.cn/share/base/query/shrcnMqxwwRkV3NUIUxPeab3sec</t>
        </is>
      </c>
      <c r="F1665" t="inlineStr">
        <is>
          <t>请添加微信：k846211</t>
        </is>
      </c>
      <c r="G1665" t="inlineStr">
        <is>
          <t>2026-03-10</t>
        </is>
      </c>
    </row>
    <row r="1666" ht="25.5" customHeight="1">
      <c r="A1666" t="inlineStr">
        <is>
          <t>💤1 名词变复数练习</t>
        </is>
      </c>
      <c r="B1666" s="2" t="str">
        <f>=HYPERLINK("https://pan.quark.cn/s/f245691b67dc", "https://pan.quark.cn/s/f245691b67dc")</f>
        <v>https://pan.quark.cn/s/f245691b67dc</v>
      </c>
      <c r="C1666" t="inlineStr">
        <is>
          <t>601.2KB</t>
        </is>
      </c>
      <c r="D1666" t="inlineStr">
        <is>
          <t>/名词复数/语法练习/英语学习/K12/学龄儿童家长</t>
        </is>
      </c>
      <c r="E1666" t="inlineStr">
        <is>
          <t>https://dcn8qexvg13r.feishu.cn/share/base/query/shrcnMqxwwRkV3NUIUxPeab3sec</t>
        </is>
      </c>
      <c r="F1666" t="inlineStr">
        <is>
          <t>请添加微信：k846211</t>
        </is>
      </c>
      <c r="G1666" t="inlineStr">
        <is>
          <t>2026-03-10</t>
        </is>
      </c>
    </row>
    <row r="1667" ht="25.5" customHeight="1">
      <c r="A1667" t="inlineStr">
        <is>
          <t>六年级英语下册人教版26春《学霸提优大试卷》</t>
        </is>
      </c>
      <c r="B1667" s="2" t="str">
        <f>=HYPERLINK("https://pan.quark.cn/s/8f1e1e72e4d9", "https://pan.quark.cn/s/8f1e1e72e4d9")</f>
        <v>https://pan.quark.cn/s/8f1e1e72e4d9</v>
      </c>
      <c r="C1667" t="inlineStr">
        <is>
          <t>1.4GB</t>
        </is>
      </c>
      <c r="D1667" t="inlineStr">
        <is>
          <t>/六年级英语/人教版/学霸提优/试卷/K12/学龄儿童家长</t>
        </is>
      </c>
      <c r="E1667" t="inlineStr">
        <is>
          <t>https://dcn8qexvg13r.feishu.cn/share/base/query/shrcnMqxwwRkV3NUIUxPeab3sec</t>
        </is>
      </c>
      <c r="F1667" t="inlineStr">
        <is>
          <t>请添加微信：k846211</t>
        </is>
      </c>
      <c r="G1667" t="inlineStr">
        <is>
          <t>2026-03-10</t>
        </is>
      </c>
    </row>
    <row r="1668" ht="25.5" customHeight="1">
      <c r="A1668" t="inlineStr">
        <is>
          <t>2026春亮点给力大试卷 英语译林版6下</t>
        </is>
      </c>
      <c r="B1668" s="2" t="str">
        <f>=HYPERLINK("https://pan.quark.cn/s/9953a1aaa075", "https://pan.quark.cn/s/9953a1aaa075")</f>
        <v>https://pan.quark.cn/s/9953a1aaa075</v>
      </c>
      <c r="C1668" t="inlineStr">
        <is>
          <t>622.7MB</t>
        </is>
      </c>
      <c r="D1668" t="inlineStr">
        <is>
          <t>/英语/六年级下册/译林版/试卷/K12/学龄儿童家长</t>
        </is>
      </c>
      <c r="E1668" t="inlineStr">
        <is>
          <t>https://dcn8qexvg13r.feishu.cn/share/base/query/shrcnMqxwwRkV3NUIUxPeab3sec</t>
        </is>
      </c>
      <c r="F1668" t="inlineStr">
        <is>
          <t>请添加微信：k846211</t>
        </is>
      </c>
      <c r="G1668" t="inlineStr">
        <is>
          <t>2026-03-10</t>
        </is>
      </c>
    </row>
    <row r="1669" ht="25.5" customHeight="1">
      <c r="A1669" t="inlineStr">
        <is>
          <t>袋鼠数学竞赛 Level A-F 中+英文版PDF</t>
        </is>
      </c>
      <c r="B1669" s="2" t="str">
        <f>=HYPERLINK("https://pan.quark.cn/s/bbc4d3a592b0", "https://pan.quark.cn/s/bbc4d3a592b0")</f>
        <v>https://pan.quark.cn/s/bbc4d3a592b0</v>
      </c>
      <c r="C1669" t="inlineStr">
        <is>
          <t>387.4MB</t>
        </is>
      </c>
      <c r="D1669" t="inlineStr">
        <is>
          <t>/袋鼠数学竞赛/Level A-F/中英文版/PDF/学龄儿童家长/K12</t>
        </is>
      </c>
      <c r="E1669" t="inlineStr">
        <is>
          <t>https://dcn8qexvg13r.feishu.cn/share/base/query/shrcnMqxwwRkV3NUIUxPeab3sec</t>
        </is>
      </c>
      <c r="F1669" t="inlineStr">
        <is>
          <t>请添加微信：k846211</t>
        </is>
      </c>
      <c r="G1669" t="inlineStr">
        <is>
          <t>2026-03-12</t>
        </is>
      </c>
    </row>
    <row r="1670" ht="25.5" customHeight="1">
      <c r="A1670" t="inlineStr">
        <is>
          <t>1-9年级英语语法动画课</t>
        </is>
      </c>
      <c r="B1670" s="2" t="str">
        <f>=HYPERLINK("https://pan.quark.cn/s/4316e55fdab7", "https://pan.quark.cn/s/4316e55fdab7")</f>
        <v>https://pan.quark.cn/s/4316e55fdab7</v>
      </c>
      <c r="C1670" t="inlineStr">
        <is>
          <t>17.9GB</t>
        </is>
      </c>
      <c r="D1670" t="inlineStr">
        <is>
          <t>/英语语法/动画课/1-9年级/K12/学龄儿童家长</t>
        </is>
      </c>
      <c r="E1670" t="inlineStr">
        <is>
          <t>https://dcn8qexvg13r.feishu.cn/share/base/query/shrcnMqxwwRkV3NUIUxPeab3sec</t>
        </is>
      </c>
      <c r="F1670" t="inlineStr">
        <is>
          <t>请添加微信：k846211</t>
        </is>
      </c>
      <c r="G1670" t="inlineStr">
        <is>
          <t>2026-03-12</t>
        </is>
      </c>
    </row>
    <row r="1671" ht="25.5" customHeight="1">
      <c r="A1671" t="inlineStr">
        <is>
          <t>二下语文预习每课晨读单.pdf</t>
        </is>
      </c>
      <c r="B1671" s="2" t="str">
        <f>=HYPERLINK("https://pan.quark.cn/s/bacba16d0609", "https://pan.quark.cn/s/bacba16d0609")</f>
        <v>https://pan.quark.cn/s/bacba16d0609</v>
      </c>
      <c r="C1671" t="inlineStr">
        <is>
          <t>52.5MB</t>
        </is>
      </c>
      <c r="D1671" t="inlineStr">
        <is>
          <t>/二年级语文/晨读单/预习资料/语文学习/K12/学龄儿童家长</t>
        </is>
      </c>
      <c r="E1671" t="inlineStr">
        <is>
          <t>https://dcn8qexvg13r.feishu.cn/share/base/query/shrcnMqxwwRkV3NUIUxPeab3sec</t>
        </is>
      </c>
      <c r="F1671" t="inlineStr">
        <is>
          <t>请添加微信：k846211</t>
        </is>
      </c>
      <c r="G1671" t="inlineStr">
        <is>
          <t>2026-03-12</t>
        </is>
      </c>
    </row>
    <row r="1672" ht="25.5" customHeight="1">
      <c r="A1672" t="inlineStr">
        <is>
          <t>一年级语文下册人教版26春《默写能手》.pdf</t>
        </is>
      </c>
      <c r="B1672" s="2" t="str">
        <f>=HYPERLINK("https://pan.quark.cn/s/6a382c8c609c", "https://pan.quark.cn/s/6a382c8c609c")</f>
        <v>https://pan.quark.cn/s/6a382c8c609c</v>
      </c>
      <c r="C1672" t="inlineStr">
        <is>
          <t>294.9MB</t>
        </is>
      </c>
      <c r="D1672" t="inlineStr">
        <is>
          <t>/一年级语文/人教版/默写练习/语文下册/学龄儿童家长/K12</t>
        </is>
      </c>
      <c r="E1672" t="inlineStr">
        <is>
          <t>https://dcn8qexvg13r.feishu.cn/share/base/query/shrcnMqxwwRkV3NUIUxPeab3sec</t>
        </is>
      </c>
      <c r="F1672" t="inlineStr">
        <is>
          <t>请添加微信：k846211</t>
        </is>
      </c>
      <c r="G1672" t="inlineStr">
        <is>
          <t>2026-03-14</t>
        </is>
      </c>
    </row>
    <row r="1673" ht="25.5" customHeight="1">
      <c r="A1673" t="inlineStr">
        <is>
          <t>五年级下册(1)</t>
        </is>
      </c>
      <c r="B1673" s="2" t="str">
        <f>=HYPERLINK("https://pan.quark.cn/s/c50ddd10d983", "https://pan.quark.cn/s/c50ddd10d983")</f>
        <v>https://pan.quark.cn/s/c50ddd10d983</v>
      </c>
      <c r="C1673" t="inlineStr">
        <is>
          <t>44.7GB</t>
        </is>
      </c>
      <c r="D1673" t="inlineStr">
        <is>
          <t>/五年级/下册/教材/K12/学龄儿童家长</t>
        </is>
      </c>
      <c r="E1673" t="inlineStr">
        <is>
          <t>https://dcn8qexvg13r.feishu.cn/share/base/query/shrcnMqxwwRkV3NUIUxPeab3sec</t>
        </is>
      </c>
      <c r="F1673" t="inlineStr">
        <is>
          <t>请添加微信：k846211</t>
        </is>
      </c>
      <c r="G1673" t="inlineStr">
        <is>
          <t>2026-03-14</t>
        </is>
      </c>
    </row>
    <row r="1674" ht="25.5" customHeight="1">
      <c r="A1674" t="inlineStr">
        <is>
          <t>25春语数英各版本《拔尖特训》合集</t>
        </is>
      </c>
      <c r="B1674" s="2" t="str">
        <f>=HYPERLINK("https://pan.quark.cn/s/d09da49ea64d", "https://pan.quark.cn/s/d09da49ea64d")</f>
        <v>https://pan.quark.cn/s/d09da49ea64d</v>
      </c>
      <c r="C1674" t="inlineStr">
        <is>
          <t>7.5GB</t>
        </is>
      </c>
      <c r="D1674" t="inlineStr">
        <is>
          <t>/拔尖特训/语数英/25春/各版本/K12/学龄儿童家长</t>
        </is>
      </c>
      <c r="E1674" t="inlineStr">
        <is>
          <t>https://dcn8qexvg13r.feishu.cn/share/base/query/shrcnMqxwwRkV3NUIUxPeab3sec</t>
        </is>
      </c>
      <c r="F1674" t="inlineStr">
        <is>
          <t>请添加微信：k846211</t>
        </is>
      </c>
      <c r="G1674" t="inlineStr">
        <is>
          <t>2026-03-14</t>
        </is>
      </c>
    </row>
    <row r="1675" ht="25.5" customHeight="1">
      <c r="A1675" t="inlineStr">
        <is>
          <t>数学《王朝霞 单元活页卷》北师 26春</t>
        </is>
      </c>
      <c r="B1675" s="2" t="str">
        <f>=HYPERLINK("https://pan.quark.cn/s/165f2e714db9", "https://pan.quark.cn/s/165f2e714db9")</f>
        <v>https://pan.quark.cn/s/165f2e714db9</v>
      </c>
      <c r="C1675" t="inlineStr">
        <is>
          <t>211.5MB</t>
        </is>
      </c>
      <c r="D1675" t="inlineStr">
        <is>
          <t>/数学/单元活页卷/北师版/王朝霞/K12/学龄儿童家长</t>
        </is>
      </c>
      <c r="E1675" t="inlineStr">
        <is>
          <t>https://dcn8qexvg13r.feishu.cn/share/base/query/shrcnMqxwwRkV3NUIUxPeab3sec</t>
        </is>
      </c>
      <c r="F1675" t="inlineStr">
        <is>
          <t>请添加微信：k846211</t>
        </is>
      </c>
      <c r="G1675" t="inlineStr">
        <is>
          <t>2026-03-14</t>
        </is>
      </c>
    </row>
    <row r="1676" ht="25.5" customHeight="1">
      <c r="A1676" t="inlineStr">
        <is>
          <t>26春王朝霞单元活页卷数学人教版1-6下</t>
        </is>
      </c>
      <c r="B1676" s="2" t="str">
        <f>=HYPERLINK("https://pan.quark.cn/s/b2ee0fc1b66f", "https://pan.quark.cn/s/b2ee0fc1b66f")</f>
        <v>https://pan.quark.cn/s/b2ee0fc1b66f</v>
      </c>
      <c r="C1676" t="inlineStr">
        <is>
          <t>261.1MB</t>
        </is>
      </c>
      <c r="D1676" t="inlineStr">
        <is>
          <t>/王朝霞/单元活页卷/数学/人教版/1-6年级/K12/学龄儿童家长</t>
        </is>
      </c>
      <c r="E1676" t="inlineStr">
        <is>
          <t>https://dcn8qexvg13r.feishu.cn/share/base/query/shrcnMqxwwRkV3NUIUxPeab3sec</t>
        </is>
      </c>
      <c r="F1676" t="inlineStr">
        <is>
          <t>请添加微信：k846211</t>
        </is>
      </c>
      <c r="G1676" t="inlineStr">
        <is>
          <t>2026-03-14</t>
        </is>
      </c>
    </row>
    <row r="1677" ht="25.5" customHeight="1">
      <c r="A1677" t="inlineStr">
        <is>
          <t>语文《王朝霞 单元活页卷》26春</t>
        </is>
      </c>
      <c r="B1677" s="2" t="str">
        <f>=HYPERLINK("https://pan.quark.cn/s/3e615e7914ff", "https://pan.quark.cn/s/3e615e7914ff")</f>
        <v>https://pan.quark.cn/s/3e615e7914ff</v>
      </c>
      <c r="C1677" t="inlineStr">
        <is>
          <t>351.3MB</t>
        </is>
      </c>
      <c r="D1677" t="inlineStr">
        <is>
          <t>/语文/单元活页卷/王朝霞/26春/K12/学龄儿童家长</t>
        </is>
      </c>
      <c r="E1677" t="inlineStr">
        <is>
          <t>https://dcn8qexvg13r.feishu.cn/share/base/query/shrcnMqxwwRkV3NUIUxPeab3sec</t>
        </is>
      </c>
      <c r="F1677" t="inlineStr">
        <is>
          <t>请添加微信：k846211</t>
        </is>
      </c>
      <c r="G1677" t="inlineStr">
        <is>
          <t>2026-03-14</t>
        </is>
      </c>
    </row>
    <row r="1678" ht="25.5" customHeight="1">
      <c r="A1678" t="inlineStr">
        <is>
          <t>英语《王朝霞 单元活页卷》人教 26春</t>
        </is>
      </c>
      <c r="B1678" s="2" t="str">
        <f>=HYPERLINK("https://pan.quark.cn/s/71130b80bcf0", "https://pan.quark.cn/s/71130b80bcf0")</f>
        <v>https://pan.quark.cn/s/71130b80bcf0</v>
      </c>
      <c r="C1678" t="inlineStr">
        <is>
          <t>191.3MB</t>
        </is>
      </c>
      <c r="D1678" t="inlineStr">
        <is>
          <t>/英语/单元活页卷/王朝霞/人教/K12/学龄儿童家长</t>
        </is>
      </c>
      <c r="E1678" t="inlineStr">
        <is>
          <t>https://dcn8qexvg13r.feishu.cn/share/base/query/shrcnMqxwwRkV3NUIUxPeab3sec</t>
        </is>
      </c>
      <c r="F1678" t="inlineStr">
        <is>
          <t>请添加微信：k846211</t>
        </is>
      </c>
      <c r="G1678" t="inlineStr">
        <is>
          <t>2026-03-14</t>
        </is>
      </c>
    </row>
    <row r="1679" ht="25.5" customHeight="1">
      <c r="A1679" t="inlineStr">
        <is>
          <t>AI漫剧制作全流程，一口气学会从0到1制作首部作品</t>
        </is>
      </c>
      <c r="B1679" s="2" t="str">
        <f>=HYPERLINK("https://pan.quark.cn/s/19a9c6be2a87", "https://pan.quark.cn/s/19a9c6be2a87")</f>
        <v>https://pan.quark.cn/s/19a9c6be2a87</v>
      </c>
      <c r="C1679" t="inlineStr">
        <is>
          <t>848.9MB</t>
        </is>
      </c>
      <c r="D1679" t="inlineStr">
        <is>
          <t>/AI漫剧制作/全流程教学/从0到1/技能入门/特定行业从业者/技能入门</t>
        </is>
      </c>
      <c r="E1679" t="inlineStr">
        <is>
          <t>https://dcn8qexvg13r.feishu.cn/share/base/query/shrcnMqxwwRkV3NUIUxPeab3sec</t>
        </is>
      </c>
      <c r="F1679" t="inlineStr">
        <is>
          <t>请添加微信：k846211</t>
        </is>
      </c>
      <c r="G1679" t="inlineStr">
        <is>
          <t>2026-03-14</t>
        </is>
      </c>
    </row>
    <row r="1680" ht="25.5" customHeight="1">
      <c r="A1680" t="inlineStr">
        <is>
          <t>🔥2026年最火AI视频模型 Seedance 2(1).0 学习资料包</t>
        </is>
      </c>
      <c r="B1680" s="2" t="str">
        <f>=HYPERLINK("https://pan.quark.cn/s/502e4545af22", "https://pan.quark.cn/s/502e4545af22")</f>
        <v>https://pan.quark.cn/s/502e4545af22</v>
      </c>
      <c r="C1680" t="inlineStr">
        <is>
          <t>4.3GB</t>
        </is>
      </c>
      <c r="D1680" t="inlineStr">
        <is>
          <t>/AI视频模型/Seedance 2.0/学习资料/特定行业从业者/技能入门</t>
        </is>
      </c>
      <c r="E1680" t="inlineStr">
        <is>
          <t>https://dcn8qexvg13r.feishu.cn/share/base/query/shrcnMqxwwRkV3NUIUxPeab3sec</t>
        </is>
      </c>
      <c r="F1680" t="inlineStr">
        <is>
          <t>请添加微信：k846211</t>
        </is>
      </c>
      <c r="G1680" t="inlineStr">
        <is>
          <t>2026-03-14</t>
        </is>
      </c>
    </row>
    <row r="1681" ht="25.5" customHeight="1">
      <c r="A1681" t="inlineStr">
        <is>
          <t>[安卓] 多邻国  高级版多版本解锁 Plus 功能 外语学习必备</t>
        </is>
      </c>
      <c r="B1681" s="2" t="str">
        <f>=HYPERLINK("https://pan.quark.cn/s/eadc069d86f2", "https://pan.quark.cn/s/eadc069d86f2")</f>
        <v>https://pan.quark.cn/s/eadc069d86f2</v>
      </c>
      <c r="C1681" t="inlineStr">
        <is>
          <t>346.6MB</t>
        </is>
      </c>
      <c r="D1681" t="inlineStr">
        <is>
          <t>/安卓/多邻国/高级版/Plus功能/语言</t>
        </is>
      </c>
      <c r="E1681" t="inlineStr">
        <is>
          <t>https://dcn8qexvg13r.feishu.cn/share/base/query/shrcnMqxwwRkV3NUIUxPeab3sec</t>
        </is>
      </c>
      <c r="F1681" t="inlineStr">
        <is>
          <t>请添加微信：k846211</t>
        </is>
      </c>
      <c r="G1681" t="inlineStr">
        <is>
          <t>2026-03-14</t>
        </is>
      </c>
    </row>
    <row r="1682" ht="25.5" customHeight="1">
      <c r="A1682" t="inlineStr">
        <is>
          <t>Adobe 2022-2026中文直装版</t>
        </is>
      </c>
      <c r="B1682" s="2" t="str">
        <f>=HYPERLINK("https://pan.quark.cn/s/24e429daffd6", "https://pan.quark.cn/s/24e429daffd6")</f>
        <v>https://pan.quark.cn/s/24e429daffd6</v>
      </c>
      <c r="C1682" t="inlineStr">
        <is>
          <t>715.9GB</t>
        </is>
      </c>
      <c r="D1682" t="inlineStr">
        <is>
          <t>/Adobe/2022-2026/中文直装版/设计软件/特定行业从业者/白领</t>
        </is>
      </c>
      <c r="E1682" t="inlineStr">
        <is>
          <t>https://dcn8qexvg13r.feishu.cn/share/base/query/shrcnMqxwwRkV3NUIUxPeab3sec</t>
        </is>
      </c>
      <c r="F1682" t="inlineStr">
        <is>
          <t>请添加微信：k846211</t>
        </is>
      </c>
      <c r="G1682" t="inlineStr">
        <is>
          <t>2026-03-14</t>
        </is>
      </c>
    </row>
    <row r="1683" ht="25.5" customHeight="1">
      <c r="A1683" t="inlineStr">
        <is>
          <t>沪江网校《新概念英语课程 (1-4册) 》</t>
        </is>
      </c>
      <c r="B1683" s="2" t="str">
        <f>=HYPERLINK("https://pan.quark.cn/s/c00218368db1", "https://pan.quark.cn/s/c00218368db1")</f>
        <v>https://pan.quark.cn/s/c00218368db1</v>
      </c>
      <c r="C1683" t="inlineStr">
        <is>
          <t>17.1GB</t>
        </is>
      </c>
      <c r="D1683" t="inlineStr">
        <is>
          <t>/新概念英语/课程/语言学习/沪江网校/语言</t>
        </is>
      </c>
      <c r="E1683" t="inlineStr">
        <is>
          <t>https://dcn8qexvg13r.feishu.cn/share/base/query/shrcnMqxwwRkV3NUIUxPeab3sec</t>
        </is>
      </c>
      <c r="F1683" t="inlineStr">
        <is>
          <t>请添加微信：k846211</t>
        </is>
      </c>
      <c r="G1683" t="inlineStr">
        <is>
          <t>2026-03-14</t>
        </is>
      </c>
    </row>
    <row r="1684" ht="25.5" customHeight="1">
      <c r="A1684" t="inlineStr">
        <is>
          <t>TikTok_44.2.3</t>
        </is>
      </c>
      <c r="B1684" s="2" t="str">
        <f>=HYPERLINK("https://pan.quark.cn/s/95c626c2c799", "https://pan.quark.cn/s/95c626c2c799")</f>
        <v>https://pan.quark.cn/s/95c626c2c799</v>
      </c>
      <c r="C1684" t="inlineStr">
        <is>
          <t>2.4GB</t>
        </is>
      </c>
      <c r="D1684" t="inlineStr">
        <is>
          <t>/TikTok/短视频/社交娱乐/版本44.2.3/其他</t>
        </is>
      </c>
      <c r="E1684" t="inlineStr">
        <is>
          <t>https://dcn8qexvg13r.feishu.cn/share/base/query/shrcnMqxwwRkV3NUIUxPeab3sec</t>
        </is>
      </c>
      <c r="F1684" t="inlineStr">
        <is>
          <t>请添加微信：k846211</t>
        </is>
      </c>
      <c r="G1684" t="inlineStr">
        <is>
          <t>2026-03-14</t>
        </is>
      </c>
    </row>
    <row r="1685" ht="25.5" customHeight="1">
      <c r="A1685" t="inlineStr">
        <is>
          <t>中国风水55讲，揭秘千年玄术与现代生活智慧</t>
        </is>
      </c>
      <c r="B1685" s="2" t="str">
        <f>=HYPERLINK("https://pan.quark.cn/s/69cae756942d", "https://pan.quark.cn/s/69cae756942d")</f>
        <v>https://pan.quark.cn/s/69cae756942d</v>
      </c>
      <c r="C1685" t="inlineStr">
        <is>
          <t>2.8GB</t>
        </is>
      </c>
      <c r="D1685" t="inlineStr">
        <is>
          <t>/风水/传统文化/现代生活智慧/讲座/特定行业从业者/其他</t>
        </is>
      </c>
      <c r="E1685" t="inlineStr">
        <is>
          <t>https://dcn8qexvg13r.feishu.cn/share/base/query/shrcnMqxwwRkV3NUIUxPeab3sec</t>
        </is>
      </c>
      <c r="F1685" t="inlineStr">
        <is>
          <t>请添加微信：k846211</t>
        </is>
      </c>
      <c r="G1685" t="inlineStr">
        <is>
          <t>2026-03-14</t>
        </is>
      </c>
    </row>
    <row r="1686" ht="25.5" customHeight="1">
      <c r="A1686" t="inlineStr">
        <is>
          <t>2026KTV燃脂嗨歌精选合集</t>
        </is>
      </c>
      <c r="B1686" s="2" t="str">
        <f>=HYPERLINK("https://pan.quark.cn/s/b66db1ef51cf", "https://pan.quark.cn/s/b66db1ef51cf")</f>
        <v>https://pan.quark.cn/s/b66db1ef51cf</v>
      </c>
      <c r="C1686" t="inlineStr">
        <is>
          <t>9.1GB</t>
        </is>
      </c>
      <c r="D1686" t="inlineStr">
        <is>
          <t>/KTV/燃脂/嗨歌/音乐/白领/音乐迷</t>
        </is>
      </c>
      <c r="E1686" t="inlineStr">
        <is>
          <t>https://dcn8qexvg13r.feishu.cn/share/base/query/shrcnMqxwwRkV3NUIUxPeab3sec</t>
        </is>
      </c>
      <c r="F1686" t="inlineStr">
        <is>
          <t>请添加微信：k846211</t>
        </is>
      </c>
      <c r="G1686" t="inlineStr">
        <is>
          <t>2026-03-14</t>
        </is>
      </c>
    </row>
    <row r="1687" ht="25.5" customHeight="1">
      <c r="A1687" t="inlineStr">
        <is>
          <t>乐乐课堂《1-9年级英语语法动画课》，轻松掌握语法知识的趣味课堂</t>
        </is>
      </c>
      <c r="B1687" s="2" t="str">
        <f>=HYPERLINK("https://pan.quark.cn/s/97bf180b1477", "https://pan.quark.cn/s/97bf180b1477")</f>
        <v>https://pan.quark.cn/s/97bf180b1477</v>
      </c>
      <c r="C1687" t="inlineStr">
        <is>
          <t>4.4GB</t>
        </is>
      </c>
      <c r="D1687" t="inlineStr">
        <is>
          <t>/英语语法/动画课/趣味课堂/1-9年级/K12/学龄儿童家长</t>
        </is>
      </c>
      <c r="E1687" t="inlineStr">
        <is>
          <t>https://dcn8qexvg13r.feishu.cn/share/base/query/shrcnMqxwwRkV3NUIUxPeab3sec</t>
        </is>
      </c>
      <c r="F1687" t="inlineStr">
        <is>
          <t>请添加微信：k846211</t>
        </is>
      </c>
      <c r="G1687" t="inlineStr">
        <is>
          <t>2026-03-14</t>
        </is>
      </c>
    </row>
    <row r="1688" ht="25.5" customHeight="1">
      <c r="A1688" t="inlineStr">
        <is>
          <t>教辅0313</t>
        </is>
      </c>
      <c r="B1688" s="2" t="str">
        <f>=HYPERLINK("https://pan.quark.cn/s/e62988601351", "https://pan.quark.cn/s/e62988601351")</f>
        <v>https://pan.quark.cn/s/e62988601351</v>
      </c>
      <c r="C1688" t="inlineStr">
        <is>
          <t>72.4GB</t>
        </is>
      </c>
      <c r="D1688" t="inlineStr">
        <is>
          <t>/教辅/学习辅导/教育资料/K12/学龄儿童家长</t>
        </is>
      </c>
      <c r="E1688" t="inlineStr">
        <is>
          <t>https://dcn8qexvg13r.feishu.cn/share/base/query/shrcnMqxwwRkV3NUIUxPeab3sec</t>
        </is>
      </c>
      <c r="F1688" t="inlineStr">
        <is>
          <t>请添加微信：k846211</t>
        </is>
      </c>
      <c r="G1688" t="inlineStr">
        <is>
          <t>2026-03-14</t>
        </is>
      </c>
    </row>
    <row r="1689" ht="25.5" customHeight="1">
      <c r="A1689" t="inlineStr">
        <is>
          <t>一年级语文下册人教版26春《实验班提优大考卷》</t>
        </is>
      </c>
      <c r="B1689" s="2" t="str">
        <f>=HYPERLINK("https://pan.quark.cn/s/e1b33e081385", "https://pan.quark.cn/s/e1b33e081385")</f>
        <v>https://pan.quark.cn/s/e1b33e081385</v>
      </c>
      <c r="C1689" t="inlineStr">
        <is>
          <t>348.0MB</t>
        </is>
      </c>
      <c r="D1689" t="inlineStr">
        <is>
          <t>/一年级语文/人教版/提优考卷/实验班/小学教辅/K12/学龄儿童家长</t>
        </is>
      </c>
      <c r="E1689" t="inlineStr">
        <is>
          <t>https://dcn8qexvg13r.feishu.cn/share/base/query/shrcnMqxwwRkV3NUIUxPeab3sec</t>
        </is>
      </c>
      <c r="F1689" t="inlineStr">
        <is>
          <t>请添加微信：k846211</t>
        </is>
      </c>
      <c r="G1689" t="inlineStr">
        <is>
          <t>2026-03-14</t>
        </is>
      </c>
    </row>
    <row r="1690" ht="25.5" customHeight="1">
      <c r="A1690" t="inlineStr">
        <is>
          <t>二年级语文下册人教版26春《实验班提优大考卷》</t>
        </is>
      </c>
      <c r="B1690" s="2" t="str">
        <f>=HYPERLINK("https://pan.quark.cn/s/942923d21a73", "https://pan.quark.cn/s/942923d21a73")</f>
        <v>https://pan.quark.cn/s/942923d21a73</v>
      </c>
      <c r="C1690" t="inlineStr">
        <is>
          <t>383.9MB</t>
        </is>
      </c>
      <c r="D1690" t="inlineStr">
        <is>
          <t>/二年级语文/人教版/实验班提优/大考卷/K12/学龄儿童家长</t>
        </is>
      </c>
      <c r="E1690" t="inlineStr">
        <is>
          <t>https://dcn8qexvg13r.feishu.cn/share/base/query/shrcnMqxwwRkV3NUIUxPeab3sec</t>
        </is>
      </c>
      <c r="F1690" t="inlineStr">
        <is>
          <t>请添加微信：k846211</t>
        </is>
      </c>
      <c r="G1690" t="inlineStr">
        <is>
          <t>2026-03-14</t>
        </is>
      </c>
    </row>
    <row r="1691" ht="25.5" customHeight="1">
      <c r="A1691" t="inlineStr">
        <is>
          <t>三年级语文下册人教版26春《实验班提优大考卷》</t>
        </is>
      </c>
      <c r="B1691" s="2" t="str">
        <f>=HYPERLINK("https://pan.quark.cn/s/b8ca885e4c67", "https://pan.quark.cn/s/b8ca885e4c67")</f>
        <v>https://pan.quark.cn/s/b8ca885e4c67</v>
      </c>
      <c r="C1691" t="inlineStr">
        <is>
          <t>272.1MB</t>
        </is>
      </c>
      <c r="D1691" t="inlineStr">
        <is>
          <t>/三年级语文/人教版/提优大考卷/同步练习/K12/学龄儿童家长</t>
        </is>
      </c>
      <c r="E1691" t="inlineStr">
        <is>
          <t>https://dcn8qexvg13r.feishu.cn/share/base/query/shrcnMqxwwRkV3NUIUxPeab3sec</t>
        </is>
      </c>
      <c r="F1691" t="inlineStr">
        <is>
          <t>请添加微信：k846211</t>
        </is>
      </c>
      <c r="G1691" t="inlineStr">
        <is>
          <t>2026-03-14</t>
        </is>
      </c>
    </row>
    <row r="1692" ht="25.5" customHeight="1">
      <c r="A1692" t="inlineStr">
        <is>
          <t>四年级语文下册人教版26春《实验班提优大考卷》</t>
        </is>
      </c>
      <c r="B1692" s="2" t="str">
        <f>=HYPERLINK("https://pan.quark.cn/s/325d5c33a581", "https://pan.quark.cn/s/325d5c33a581")</f>
        <v>https://pan.quark.cn/s/325d5c33a581</v>
      </c>
      <c r="C1692" t="inlineStr">
        <is>
          <t>419.8MB</t>
        </is>
      </c>
      <c r="D1692" t="inlineStr">
        <is>
          <t>/四年级语文/人教版/实验班提优/大考卷/K12/学龄儿童家长</t>
        </is>
      </c>
      <c r="E1692" t="inlineStr">
        <is>
          <t>https://dcn8qexvg13r.feishu.cn/share/base/query/shrcnMqxwwRkV3NUIUxPeab3sec</t>
        </is>
      </c>
      <c r="F1692" t="inlineStr">
        <is>
          <t>请添加微信：k846211</t>
        </is>
      </c>
      <c r="G1692" t="inlineStr">
        <is>
          <t>2026-03-14</t>
        </is>
      </c>
    </row>
    <row r="1693" ht="25.5" customHeight="1">
      <c r="A1693" t="inlineStr">
        <is>
          <t>五年级语文下册人教版26春《实验班提优大考卷》</t>
        </is>
      </c>
      <c r="B1693" s="2" t="str">
        <f>=HYPERLINK("https://pan.quark.cn/s/fef5a12d8e74", "https://pan.quark.cn/s/fef5a12d8e74")</f>
        <v>https://pan.quark.cn/s/fef5a12d8e74</v>
      </c>
      <c r="C1693" t="inlineStr">
        <is>
          <t>441.7MB</t>
        </is>
      </c>
      <c r="D1693" t="inlineStr">
        <is>
          <t>/五年级语文/人教版/实验班提优/大考卷/K12/学龄儿童家长</t>
        </is>
      </c>
      <c r="E1693" t="inlineStr">
        <is>
          <t>https://dcn8qexvg13r.feishu.cn/share/base/query/shrcnMqxwwRkV3NUIUxPeab3sec</t>
        </is>
      </c>
      <c r="F1693" t="inlineStr">
        <is>
          <t>请添加微信：k846211</t>
        </is>
      </c>
      <c r="G1693" t="inlineStr">
        <is>
          <t>2026-03-14</t>
        </is>
      </c>
    </row>
    <row r="1694" ht="25.5" customHeight="1">
      <c r="A1694" t="inlineStr">
        <is>
          <t>六年级语文下册人教版26春《实验班提优大考卷》</t>
        </is>
      </c>
      <c r="B1694" s="2" t="str">
        <f>=HYPERLINK("https://pan.quark.cn/s/8bd66ab3a5e1", "https://pan.quark.cn/s/8bd66ab3a5e1")</f>
        <v>https://pan.quark.cn/s/8bd66ab3a5e1</v>
      </c>
      <c r="C1694" t="inlineStr">
        <is>
          <t>417.0MB</t>
        </is>
      </c>
      <c r="D1694" t="inlineStr">
        <is>
          <t>/六年级语文/人教版/实验班提优/大考卷/K12/学龄儿童家长</t>
        </is>
      </c>
      <c r="E1694" t="inlineStr">
        <is>
          <t>https://dcn8qexvg13r.feishu.cn/share/base/query/shrcnMqxwwRkV3NUIUxPeab3sec</t>
        </is>
      </c>
      <c r="F1694" t="inlineStr">
        <is>
          <t>请添加微信：k846211</t>
        </is>
      </c>
      <c r="G1694" t="inlineStr">
        <is>
          <t>2026-03-14</t>
        </is>
      </c>
    </row>
    <row r="1695" ht="25.5" customHeight="1">
      <c r="A1695" t="inlineStr">
        <is>
          <t>26春一年级语文下册核心考点清单(1).pdf</t>
        </is>
      </c>
      <c r="B1695" s="2" t="str">
        <f>=HYPERLINK("https://pan.quark.cn/s/635391835edf", "https://pan.quark.cn/s/635391835edf")</f>
        <v>https://pan.quark.cn/s/635391835edf</v>
      </c>
      <c r="C1695" t="inlineStr">
        <is>
          <t>2.4MB</t>
        </is>
      </c>
      <c r="D1695" t="inlineStr">
        <is>
          <t>/一年级语文/核心考点/考点清单/K12/学龄儿童家长</t>
        </is>
      </c>
      <c r="E1695" t="inlineStr">
        <is>
          <t>https://dcn8qexvg13r.feishu.cn/share/base/query/shrcnMqxwwRkV3NUIUxPeab3sec</t>
        </is>
      </c>
      <c r="F1695" t="inlineStr">
        <is>
          <t>请添加微信：k846211</t>
        </is>
      </c>
      <c r="G1695" t="inlineStr">
        <is>
          <t>2026-03-14</t>
        </is>
      </c>
    </row>
    <row r="1696" ht="25.5" customHeight="1">
      <c r="A1696" t="inlineStr">
        <is>
          <t>26春二年级语文下册核心考点清单(1).pdf</t>
        </is>
      </c>
      <c r="B1696" s="2" t="str">
        <f>=HYPERLINK("https://pan.quark.cn/s/6f3f9558a10b", "https://pan.quark.cn/s/6f3f9558a10b")</f>
        <v>https://pan.quark.cn/s/6f3f9558a10b</v>
      </c>
      <c r="C1696" t="inlineStr">
        <is>
          <t>33.2MB</t>
        </is>
      </c>
      <c r="D1696" t="inlineStr">
        <is>
          <t>/二年级语文/核心考点/考点清单/语文下册/学龄儿童家长/K12</t>
        </is>
      </c>
      <c r="E1696" t="inlineStr">
        <is>
          <t>https://dcn8qexvg13r.feishu.cn/share/base/query/shrcnMqxwwRkV3NUIUxPeab3sec</t>
        </is>
      </c>
      <c r="F1696" t="inlineStr">
        <is>
          <t>请添加微信：k846211</t>
        </is>
      </c>
      <c r="G1696" t="inlineStr">
        <is>
          <t>2026-03-14</t>
        </is>
      </c>
    </row>
    <row r="1697" ht="25.5" customHeight="1">
      <c r="A1697" t="inlineStr">
        <is>
          <t>26春三年级语文下册核心考点清单(1).pdf</t>
        </is>
      </c>
      <c r="B1697" s="2" t="str">
        <f>=HYPERLINK("https://pan.quark.cn/s/d826d4ca8ed1", "https://pan.quark.cn/s/d826d4ca8ed1")</f>
        <v>https://pan.quark.cn/s/d826d4ca8ed1</v>
      </c>
      <c r="C1697" t="inlineStr">
        <is>
          <t>47.2MB</t>
        </is>
      </c>
      <c r="D1697" t="inlineStr">
        <is>
          <t>/三年级语文/核心考点/考点清单/语文下册/学龄儿童家长/K12</t>
        </is>
      </c>
      <c r="E1697" t="inlineStr">
        <is>
          <t>https://dcn8qexvg13r.feishu.cn/share/base/query/shrcnMqxwwRkV3NUIUxPeab3sec</t>
        </is>
      </c>
      <c r="F1697" t="inlineStr">
        <is>
          <t>请添加微信：k846211</t>
        </is>
      </c>
      <c r="G1697" t="inlineStr">
        <is>
          <t>2026-03-14</t>
        </is>
      </c>
    </row>
    <row r="1698" ht="25.5" customHeight="1">
      <c r="A1698" t="inlineStr">
        <is>
          <t>26春四年级语文下册核心考点清单(1).pdf</t>
        </is>
      </c>
      <c r="B1698" s="2" t="str">
        <f>=HYPERLINK("https://pan.quark.cn/s/dc71d7597b14", "https://pan.quark.cn/s/dc71d7597b14")</f>
        <v>https://pan.quark.cn/s/dc71d7597b14</v>
      </c>
      <c r="C1698" t="inlineStr">
        <is>
          <t>104.0MB</t>
        </is>
      </c>
      <c r="D1698" t="inlineStr">
        <is>
          <t>/四年级语文/核心考点/下册/清单/学龄儿童家长/K12</t>
        </is>
      </c>
      <c r="E1698" t="inlineStr">
        <is>
          <t>https://dcn8qexvg13r.feishu.cn/share/base/query/shrcnMqxwwRkV3NUIUxPeab3sec</t>
        </is>
      </c>
      <c r="F1698" t="inlineStr">
        <is>
          <t>请添加微信：k846211</t>
        </is>
      </c>
      <c r="G1698" t="inlineStr">
        <is>
          <t>2026-03-14</t>
        </is>
      </c>
    </row>
    <row r="1699" ht="25.5" customHeight="1">
      <c r="A1699" t="inlineStr">
        <is>
          <t>26春五年级语文下册核心考点清单(1).pdf</t>
        </is>
      </c>
      <c r="B1699" s="2" t="str">
        <f>=HYPERLINK("https://pan.quark.cn/s/85c3da9b4ac1", "https://pan.quark.cn/s/85c3da9b4ac1")</f>
        <v>https://pan.quark.cn/s/85c3da9b4ac1</v>
      </c>
      <c r="C1699" t="inlineStr">
        <is>
          <t>45.5MB</t>
        </is>
      </c>
      <c r="D1699" t="inlineStr">
        <is>
          <t>/五年级语文/核心考点/考点清单/语文下册/K12/学龄儿童家长</t>
        </is>
      </c>
      <c r="E1699" t="inlineStr">
        <is>
          <t>https://dcn8qexvg13r.feishu.cn/share/base/query/shrcnMqxwwRkV3NUIUxPeab3sec</t>
        </is>
      </c>
      <c r="F1699" t="inlineStr">
        <is>
          <t>请添加微信：k846211</t>
        </is>
      </c>
      <c r="G1699" t="inlineStr">
        <is>
          <t>2026-03-14</t>
        </is>
      </c>
    </row>
    <row r="1700" ht="25.5" customHeight="1">
      <c r="A1700" t="inlineStr">
        <is>
          <t>26春六年级语文下册核心考点清单(1).pdf</t>
        </is>
      </c>
      <c r="B1700" s="2" t="str">
        <f>=HYPERLINK("https://pan.quark.cn/s/1abc2a436d69", "https://pan.quark.cn/s/1abc2a436d69")</f>
        <v>https://pan.quark.cn/s/1abc2a436d69</v>
      </c>
      <c r="C1700" t="inlineStr">
        <is>
          <t>80.6MB</t>
        </is>
      </c>
      <c r="D1700" t="inlineStr">
        <is>
          <t>/六年级语文/核心考点/考点清单/语文下册/K12/学龄儿童家长</t>
        </is>
      </c>
      <c r="E1700" t="inlineStr">
        <is>
          <t>https://dcn8qexvg13r.feishu.cn/share/base/query/shrcnMqxwwRkV3NUIUxPeab3sec</t>
        </is>
      </c>
      <c r="F1700" t="inlineStr">
        <is>
          <t>请添加微信：k846211</t>
        </is>
      </c>
      <c r="G1700" t="inlineStr">
        <is>
          <t>2026-03-14</t>
        </is>
      </c>
    </row>
    <row r="1701" ht="25.5" customHeight="1">
      <c r="A1701" t="inlineStr">
        <is>
          <t>彩色默写单 3年级下册(1).pdf</t>
        </is>
      </c>
      <c r="B1701" s="2" t="str">
        <f>=HYPERLINK("https://pan.quark.cn/s/be5d05207621", "https://pan.quark.cn/s/be5d05207621")</f>
        <v>https://pan.quark.cn/s/be5d05207621</v>
      </c>
      <c r="C1701" t="inlineStr">
        <is>
          <t>1.1MB</t>
        </is>
      </c>
      <c r="D1701" t="inlineStr">
        <is>
          <t>/彩色默写单/三年级下册/语文练习/学生学习/K12/学龄儿童家长</t>
        </is>
      </c>
      <c r="E1701" t="inlineStr">
        <is>
          <t>https://dcn8qexvg13r.feishu.cn/share/base/query/shrcnMqxwwRkV3NUIUxPeab3sec</t>
        </is>
      </c>
      <c r="F1701" t="inlineStr">
        <is>
          <t>请添加微信：k846211</t>
        </is>
      </c>
      <c r="G1701" t="inlineStr">
        <is>
          <t>2026-03-14</t>
        </is>
      </c>
    </row>
    <row r="1702" ht="25.5" customHeight="1">
      <c r="A1702" t="inlineStr">
        <is>
          <t>彩色默写单 4年级下册(1).pdf</t>
        </is>
      </c>
      <c r="B1702" s="2" t="str">
        <f>=HYPERLINK("https://pan.quark.cn/s/219f9199ff79", "https://pan.quark.cn/s/219f9199ff79")</f>
        <v>https://pan.quark.cn/s/219f9199ff79</v>
      </c>
      <c r="C1702" t="inlineStr">
        <is>
          <t>1.4MB</t>
        </is>
      </c>
      <c r="D1702" t="inlineStr">
        <is>
          <t>/彩色默写单/4年级下册/语文练习/小学学习/K12/学龄儿童家长</t>
        </is>
      </c>
      <c r="E1702" t="inlineStr">
        <is>
          <t>https://dcn8qexvg13r.feishu.cn/share/base/query/shrcnMqxwwRkV3NUIUxPeab3sec</t>
        </is>
      </c>
      <c r="F1702" t="inlineStr">
        <is>
          <t>请添加微信：k846211</t>
        </is>
      </c>
      <c r="G1702" t="inlineStr">
        <is>
          <t>2026-03-14</t>
        </is>
      </c>
    </row>
    <row r="1703" ht="25.5" customHeight="1">
      <c r="A1703" t="inlineStr">
        <is>
          <t>彩色默写单 5年级下册(1).pdf</t>
        </is>
      </c>
      <c r="B1703" s="2" t="str">
        <f>=HYPERLINK("https://pan.quark.cn/s/64d6a8fbb52d", "https://pan.quark.cn/s/64d6a8fbb52d")</f>
        <v>https://pan.quark.cn/s/64d6a8fbb52d</v>
      </c>
      <c r="C1703" t="inlineStr">
        <is>
          <t>1.4MB</t>
        </is>
      </c>
      <c r="D1703" t="inlineStr">
        <is>
          <t>/彩色默写单/五年级下册/语文练习/学习辅助/K12/学龄儿童家长</t>
        </is>
      </c>
      <c r="E1703" t="inlineStr">
        <is>
          <t>https://dcn8qexvg13r.feishu.cn/share/base/query/shrcnMqxwwRkV3NUIUxPeab3sec</t>
        </is>
      </c>
      <c r="F1703" t="inlineStr">
        <is>
          <t>请添加微信：k846211</t>
        </is>
      </c>
      <c r="G1703" t="inlineStr">
        <is>
          <t>2026-03-14</t>
        </is>
      </c>
    </row>
    <row r="1704" ht="25.5" customHeight="1">
      <c r="A1704" t="inlineStr">
        <is>
          <t>彩色默写单 6年级下册(1).pdf</t>
        </is>
      </c>
      <c r="B1704" s="2" t="str">
        <f>=HYPERLINK("https://pan.quark.cn/s/8ea3cf3886b4", "https://pan.quark.cn/s/8ea3cf3886b4")</f>
        <v>https://pan.quark.cn/s/8ea3cf3886b4</v>
      </c>
      <c r="C1704" t="inlineStr">
        <is>
          <t>1.0MB</t>
        </is>
      </c>
      <c r="D1704" t="inlineStr">
        <is>
          <t>/彩色默写单/六年级下册/语文学习/练习材料/K12/学龄儿童家长</t>
        </is>
      </c>
      <c r="E1704" t="inlineStr">
        <is>
          <t>https://dcn8qexvg13r.feishu.cn/share/base/query/shrcnMqxwwRkV3NUIUxPeab3sec</t>
        </is>
      </c>
      <c r="F1704" t="inlineStr">
        <is>
          <t>请添加微信：k846211</t>
        </is>
      </c>
      <c r="G1704" t="inlineStr">
        <is>
          <t>2026-03-14</t>
        </is>
      </c>
    </row>
    <row r="1705" ht="25.5" customHeight="1">
      <c r="A1705" t="inlineStr">
        <is>
          <t>✅一年级高斯数学趣味动画</t>
        </is>
      </c>
      <c r="B1705" s="2" t="str">
        <f>=HYPERLINK("https://pan.quark.cn/s/900a796db583", "https://pan.quark.cn/s/900a796db583")</f>
        <v>https://pan.quark.cn/s/900a796db583</v>
      </c>
      <c r="C1705" t="inlineStr">
        <is>
          <t>267.4MB</t>
        </is>
      </c>
      <c r="D1705" t="inlineStr">
        <is>
          <t>/一年级数学/趣味动画/高斯数学/学龄儿童家长/K12</t>
        </is>
      </c>
      <c r="E1705" t="inlineStr">
        <is>
          <t>https://dcn8qexvg13r.feishu.cn/share/base/query/shrcnMqxwwRkV3NUIUxPeab3sec</t>
        </is>
      </c>
      <c r="F1705" t="inlineStr">
        <is>
          <t>请添加微信：k846211</t>
        </is>
      </c>
      <c r="G1705" t="inlineStr">
        <is>
          <t>2026-03-14</t>
        </is>
      </c>
    </row>
    <row r="1706" ht="25.5" customHeight="1">
      <c r="A1706" t="inlineStr">
        <is>
          <t>✅二年级高斯数学趣味动画</t>
        </is>
      </c>
      <c r="B1706" s="2" t="str">
        <f>=HYPERLINK("https://pan.quark.cn/s/9daf43179921", "https://pan.quark.cn/s/9daf43179921")</f>
        <v>https://pan.quark.cn/s/9daf43179921</v>
      </c>
      <c r="C1706" t="inlineStr">
        <is>
          <t>245.0MB</t>
        </is>
      </c>
      <c r="D1706" t="inlineStr">
        <is>
          <t>/二年级/高斯数学/趣味动画/数学启蒙/K12/学龄儿童家长</t>
        </is>
      </c>
      <c r="E1706" t="inlineStr">
        <is>
          <t>https://dcn8qexvg13r.feishu.cn/share/base/query/shrcnMqxwwRkV3NUIUxPeab3sec</t>
        </is>
      </c>
      <c r="F1706" t="inlineStr">
        <is>
          <t>请添加微信：k846211</t>
        </is>
      </c>
      <c r="G1706" t="inlineStr">
        <is>
          <t>2026-03-14</t>
        </is>
      </c>
    </row>
    <row r="1707" ht="25.5" customHeight="1">
      <c r="A1707" t="inlineStr">
        <is>
          <t>✅三年级高斯数学趣味动画</t>
        </is>
      </c>
      <c r="B1707" s="2" t="str">
        <f>=HYPERLINK("https://pan.quark.cn/s/5e302a9306d5", "https://pan.quark.cn/s/5e302a9306d5")</f>
        <v>https://pan.quark.cn/s/5e302a9306d5</v>
      </c>
      <c r="C1707" t="inlineStr">
        <is>
          <t>210.4MB</t>
        </is>
      </c>
      <c r="D1707" t="inlineStr">
        <is>
          <t>/三年级/高斯数学/趣味动画/数学启蒙/K12/学龄儿童家长</t>
        </is>
      </c>
      <c r="E1707" t="inlineStr">
        <is>
          <t>https://dcn8qexvg13r.feishu.cn/share/base/query/shrcnMqxwwRkV3NUIUxPeab3sec</t>
        </is>
      </c>
      <c r="F1707" t="inlineStr">
        <is>
          <t>请添加微信：k846211</t>
        </is>
      </c>
      <c r="G1707" t="inlineStr">
        <is>
          <t>2026-03-14</t>
        </is>
      </c>
    </row>
    <row r="1708" ht="25.5" customHeight="1">
      <c r="A1708" t="inlineStr">
        <is>
          <t>✅四年级高斯数学趣味动画</t>
        </is>
      </c>
      <c r="B1708" s="2" t="str">
        <f>=HYPERLINK("https://pan.quark.cn/s/72a88a46a3c2", "https://pan.quark.cn/s/72a88a46a3c2")</f>
        <v>https://pan.quark.cn/s/72a88a46a3c2</v>
      </c>
      <c r="C1708" t="inlineStr">
        <is>
          <t>252.8MB</t>
        </is>
      </c>
      <c r="D1708" t="inlineStr">
        <is>
          <t>/四年级/高斯数学/趣味动画/数学启蒙/K12/学龄儿童家长</t>
        </is>
      </c>
      <c r="E1708" t="inlineStr">
        <is>
          <t>https://dcn8qexvg13r.feishu.cn/share/base/query/shrcnMqxwwRkV3NUIUxPeab3sec</t>
        </is>
      </c>
      <c r="F1708" t="inlineStr">
        <is>
          <t>请添加微信：k846211</t>
        </is>
      </c>
      <c r="G1708" t="inlineStr">
        <is>
          <t>2026-03-14</t>
        </is>
      </c>
    </row>
    <row r="1709" ht="25.5" customHeight="1">
      <c r="A1709" t="inlineStr">
        <is>
          <t>✅五年级高斯数学趣味动画</t>
        </is>
      </c>
      <c r="B1709" s="2" t="str">
        <f>=HYPERLINK("https://pan.quark.cn/s/a4694c7cb261", "https://pan.quark.cn/s/a4694c7cb261")</f>
        <v>https://pan.quark.cn/s/a4694c7cb261</v>
      </c>
      <c r="C1709" t="inlineStr">
        <is>
          <t>490.6MB</t>
        </is>
      </c>
      <c r="D1709" t="inlineStr">
        <is>
          <t>/五年级/高斯数学/趣味动画/数学启蒙/K12/学龄儿童家长</t>
        </is>
      </c>
      <c r="E1709" t="inlineStr">
        <is>
          <t>https://dcn8qexvg13r.feishu.cn/share/base/query/shrcnMqxwwRkV3NUIUxPeab3sec</t>
        </is>
      </c>
      <c r="F1709" t="inlineStr">
        <is>
          <t>请添加微信：k846211</t>
        </is>
      </c>
      <c r="G1709" t="inlineStr">
        <is>
          <t>2026-03-14</t>
        </is>
      </c>
    </row>
    <row r="1710" ht="25.5" customHeight="1">
      <c r="A1710" t="inlineStr">
        <is>
          <t>✅六年级高斯数学趣味动画</t>
        </is>
      </c>
      <c r="B1710" s="2" t="str">
        <f>=HYPERLINK("https://pan.quark.cn/s/05deae90c58f", "https://pan.quark.cn/s/05deae90c58f")</f>
        <v>https://pan.quark.cn/s/05deae90c58f</v>
      </c>
      <c r="C1710" t="inlineStr">
        <is>
          <t>199.9MB</t>
        </is>
      </c>
      <c r="D1710" t="inlineStr">
        <is>
          <t>/六年级/高斯数学/趣味动画/数学启蒙/K12/学龄儿童家长</t>
        </is>
      </c>
      <c r="E1710" t="inlineStr">
        <is>
          <t>https://dcn8qexvg13r.feishu.cn/share/base/query/shrcnMqxwwRkV3NUIUxPeab3sec</t>
        </is>
      </c>
      <c r="F1710" t="inlineStr">
        <is>
          <t>请添加微信：k846211</t>
        </is>
      </c>
      <c r="G1710" t="inlineStr">
        <is>
          <t>2026-03-14</t>
        </is>
      </c>
    </row>
    <row r="1711" ht="25.5" customHeight="1">
      <c r="A1711" t="inlineStr">
        <is>
          <t>四年级（下）语文  单元默写通关练习(1).pdf</t>
        </is>
      </c>
      <c r="B1711" s="2" t="str">
        <f>=HYPERLINK("https://pan.quark.cn/s/609e4c41de5f", "https://pan.quark.cn/s/609e4c41de5f")</f>
        <v>https://pan.quark.cn/s/609e4c41de5f</v>
      </c>
      <c r="C1711" t="inlineStr">
        <is>
          <t>175.5MB</t>
        </is>
      </c>
      <c r="D1711" t="inlineStr">
        <is>
          <t>/四年级语文/默写练习/单元练习/K12/学龄儿童家长</t>
        </is>
      </c>
      <c r="E1711" t="inlineStr">
        <is>
          <t>https://dcn8qexvg13r.feishu.cn/share/base/query/shrcnMqxwwRkV3NUIUxPeab3sec</t>
        </is>
      </c>
      <c r="F1711" t="inlineStr">
        <is>
          <t>请添加微信：k846211</t>
        </is>
      </c>
      <c r="G1711" t="inlineStr">
        <is>
          <t>2026-03-14</t>
        </is>
      </c>
    </row>
    <row r="1712" ht="25.5" customHeight="1">
      <c r="A1712" t="inlineStr">
        <is>
          <t>26年三下语文写字表课课贴空白(1).pdf</t>
        </is>
      </c>
      <c r="B1712" s="2" t="str">
        <f>=HYPERLINK("https://pan.quark.cn/s/9b16f2eccc99", "https://pan.quark.cn/s/9b16f2eccc99")</f>
        <v>https://pan.quark.cn/s/9b16f2eccc99</v>
      </c>
      <c r="C1712" t="inlineStr">
        <is>
          <t>129.3MB</t>
        </is>
      </c>
      <c r="D1712" t="inlineStr">
        <is>
          <t>/三年级下册/语文写字表/课课贴/空白练习/K12/学龄儿童家长</t>
        </is>
      </c>
      <c r="E1712" t="inlineStr">
        <is>
          <t>https://dcn8qexvg13r.feishu.cn/share/base/query/shrcnMqxwwRkV3NUIUxPeab3sec</t>
        </is>
      </c>
      <c r="F1712" t="inlineStr">
        <is>
          <t>请添加微信：k846211</t>
        </is>
      </c>
      <c r="G1712" t="inlineStr">
        <is>
          <t>2026-03-14</t>
        </is>
      </c>
    </row>
    <row r="1713" ht="25.5" customHeight="1">
      <c r="A1713" t="inlineStr">
        <is>
          <t>26年春二下语文写字表生字课课贴 缩印版(1).pdf</t>
        </is>
      </c>
      <c r="B1713" s="2" t="str">
        <f>=HYPERLINK("https://pan.quark.cn/s/bfb7d71cbe10", "https://pan.quark.cn/s/bfb7d71cbe10")</f>
        <v>https://pan.quark.cn/s/bfb7d71cbe10</v>
      </c>
      <c r="C1713" t="inlineStr">
        <is>
          <t>193.8MB</t>
        </is>
      </c>
      <c r="D1713" t="inlineStr">
        <is>
          <t>/二年级下册/语文/写字表/生字课课贴/K12/学龄儿童家长</t>
        </is>
      </c>
      <c r="E1713" t="inlineStr">
        <is>
          <t>https://dcn8qexvg13r.feishu.cn/share/base/query/shrcnMqxwwRkV3NUIUxPeab3sec</t>
        </is>
      </c>
      <c r="F1713" t="inlineStr">
        <is>
          <t>请添加微信：k846211</t>
        </is>
      </c>
      <c r="G1713" t="inlineStr">
        <is>
          <t>2026-03-14</t>
        </is>
      </c>
    </row>
    <row r="1714" ht="25.5" customHeight="1">
      <c r="A1714" t="inlineStr">
        <is>
          <t>26春新版一年级语文下册生字音序预习卡(1).pdf</t>
        </is>
      </c>
      <c r="B1714" s="2" t="str">
        <f>=HYPERLINK("https://pan.quark.cn/s/b162f76e0157", "https://pan.quark.cn/s/b162f76e0157")</f>
        <v>https://pan.quark.cn/s/b162f76e0157</v>
      </c>
      <c r="C1714" t="inlineStr">
        <is>
          <t>238.8MB</t>
        </is>
      </c>
      <c r="D1714" t="inlineStr">
        <is>
          <t>/一年级语文/生字音序/预习卡/26春/学龄儿童家长/K12</t>
        </is>
      </c>
      <c r="E1714" t="inlineStr">
        <is>
          <t>https://dcn8qexvg13r.feishu.cn/share/base/query/shrcnMqxwwRkV3NUIUxPeab3sec</t>
        </is>
      </c>
      <c r="F1714" t="inlineStr">
        <is>
          <t>请添加微信：k846211</t>
        </is>
      </c>
      <c r="G1714" t="inlineStr">
        <is>
          <t>2026-03-14</t>
        </is>
      </c>
    </row>
    <row r="1715" ht="25.5" customHeight="1">
      <c r="A1715" t="inlineStr">
        <is>
          <t>小学语文《课课贴彩色版》 1年级下册(1)(1)</t>
        </is>
      </c>
      <c r="B1715" s="2" t="str">
        <f>=HYPERLINK("https://pan.quark.cn/s/508c4f534900", "https://pan.quark.cn/s/508c4f534900")</f>
        <v>https://pan.quark.cn/s/508c4f534900</v>
      </c>
      <c r="C1715" t="inlineStr">
        <is>
          <t>96.2MB</t>
        </is>
      </c>
      <c r="D1715" t="inlineStr">
        <is>
          <t>/小学语文/课课贴/1年级下册/彩色版/K12/学龄儿童家长</t>
        </is>
      </c>
      <c r="E1715" t="inlineStr">
        <is>
          <t>https://dcn8qexvg13r.feishu.cn/share/base/query/shrcnMqxwwRkV3NUIUxPeab3sec</t>
        </is>
      </c>
      <c r="F1715" t="inlineStr">
        <is>
          <t>请添加微信：k846211</t>
        </is>
      </c>
      <c r="G1715" t="inlineStr">
        <is>
          <t>2026-03-14</t>
        </is>
      </c>
    </row>
    <row r="1716" ht="25.5" customHeight="1">
      <c r="A1716" t="inlineStr">
        <is>
          <t>3下数学人教周末小测卷.pdf</t>
        </is>
      </c>
      <c r="B1716" s="2" t="str">
        <f>=HYPERLINK("https://pan.quark.cn/s/ec63292a7cca", "https://pan.quark.cn/s/ec63292a7cca")</f>
        <v>https://pan.quark.cn/s/ec63292a7cca</v>
      </c>
      <c r="C1716" t="inlineStr">
        <is>
          <t>56.4MB</t>
        </is>
      </c>
      <c r="D1716" t="inlineStr">
        <is>
          <t>/三年级数学/人教版/周末小测/测试卷/K12/学龄儿童家长</t>
        </is>
      </c>
      <c r="E1716" t="inlineStr">
        <is>
          <t>https://dcn8qexvg13r.feishu.cn/share/base/query/shrcnMqxwwRkV3NUIUxPeab3sec</t>
        </is>
      </c>
      <c r="F1716" t="inlineStr">
        <is>
          <t>请添加微信：k846211</t>
        </is>
      </c>
      <c r="G1716" t="inlineStr">
        <is>
          <t>2026-03-14</t>
        </is>
      </c>
    </row>
    <row r="1717" ht="25.5" customHeight="1">
      <c r="A1717" t="inlineStr">
        <is>
          <t>4下数学人教周末小测卷</t>
        </is>
      </c>
      <c r="B1717" s="2" t="str">
        <f>=HYPERLINK("https://pan.quark.cn/s/5aee6fb07aee", "https://pan.quark.cn/s/5aee6fb07aee")</f>
        <v>https://pan.quark.cn/s/5aee6fb07aee</v>
      </c>
      <c r="C1717" t="inlineStr">
        <is>
          <t>59.7MB</t>
        </is>
      </c>
      <c r="D1717" t="inlineStr">
        <is>
          <t>/四年级数学/人教版/周末小测/K12/学龄儿童家长</t>
        </is>
      </c>
      <c r="E1717" t="inlineStr">
        <is>
          <t>https://dcn8qexvg13r.feishu.cn/share/base/query/shrcnMqxwwRkV3NUIUxPeab3sec</t>
        </is>
      </c>
      <c r="F1717" t="inlineStr">
        <is>
          <t>请添加微信：k846211</t>
        </is>
      </c>
      <c r="G1717" t="inlineStr">
        <is>
          <t>2026-03-14</t>
        </is>
      </c>
    </row>
    <row r="1718" ht="25.5" customHeight="1">
      <c r="A1718" t="inlineStr">
        <is>
          <t>5下一本周末小测卷数学人教版26春</t>
        </is>
      </c>
      <c r="B1718" s="2" t="str">
        <f>=HYPERLINK("https://pan.quark.cn/s/66c64078bfe8", "https://pan.quark.cn/s/66c64078bfe8")</f>
        <v>https://pan.quark.cn/s/66c64078bfe8</v>
      </c>
      <c r="C1718" t="inlineStr">
        <is>
          <t>38.2MB</t>
        </is>
      </c>
      <c r="D1718" t="inlineStr">
        <is>
          <t>/五年级数学/人教版/周末小测/检测练习/K12/学龄儿童家长</t>
        </is>
      </c>
      <c r="E1718" t="inlineStr">
        <is>
          <t>https://dcn8qexvg13r.feishu.cn/share/base/query/shrcnMqxwwRkV3NUIUxPeab3sec</t>
        </is>
      </c>
      <c r="F1718" t="inlineStr">
        <is>
          <t>请添加微信：k846211</t>
        </is>
      </c>
      <c r="G1718" t="inlineStr">
        <is>
          <t>2026-03-14</t>
        </is>
      </c>
    </row>
    <row r="1719" ht="25.5" customHeight="1">
      <c r="A1719" t="inlineStr">
        <is>
          <t>6下数学人教周末小测卷.pdf</t>
        </is>
      </c>
      <c r="B1719" s="2" t="str">
        <f>=HYPERLINK("https://pan.quark.cn/s/025166ce6617", "https://pan.quark.cn/s/025166ce6617")</f>
        <v>https://pan.quark.cn/s/025166ce6617</v>
      </c>
      <c r="C1719" t="inlineStr">
        <is>
          <t>67.3MB</t>
        </is>
      </c>
      <c r="D1719" t="inlineStr">
        <is>
          <t>/六年级数学/人教版/周末小测/数学测试/K12/学龄儿童家长</t>
        </is>
      </c>
      <c r="E1719" t="inlineStr">
        <is>
          <t>https://dcn8qexvg13r.feishu.cn/share/base/query/shrcnMqxwwRkV3NUIUxPeab3sec</t>
        </is>
      </c>
      <c r="F1719" t="inlineStr">
        <is>
          <t>请添加微信：k846211</t>
        </is>
      </c>
      <c r="G1719" t="inlineStr">
        <is>
          <t>2026-03-14</t>
        </is>
      </c>
    </row>
    <row r="1720" ht="25.5" customHeight="1">
      <c r="A1720" t="inlineStr">
        <is>
          <t>26春一年级语文下册核心考点清单.pdf</t>
        </is>
      </c>
      <c r="B1720" s="2" t="str">
        <f>=HYPERLINK("https://pan.quark.cn/s/d161a07fdb19", "https://pan.quark.cn/s/d161a07fdb19")</f>
        <v>https://pan.quark.cn/s/d161a07fdb19</v>
      </c>
      <c r="C1720" t="inlineStr">
        <is>
          <t>2.4MB</t>
        </is>
      </c>
      <c r="D1720" t="inlineStr">
        <is>
          <t>/一年级语文/核心考点/考点清单/语文下册/K12/学龄儿童家长</t>
        </is>
      </c>
      <c r="E1720" t="inlineStr">
        <is>
          <t>https://dcn8qexvg13r.feishu.cn/share/base/query/shrcnMqxwwRkV3NUIUxPeab3sec</t>
        </is>
      </c>
      <c r="F1720" t="inlineStr">
        <is>
          <t>请添加微信：k846211</t>
        </is>
      </c>
      <c r="G1720" t="inlineStr">
        <is>
          <t>2026-03-14</t>
        </is>
      </c>
    </row>
    <row r="1721" ht="25.5" customHeight="1">
      <c r="A1721" t="inlineStr">
        <is>
          <t>26春二年级语文下册核心考点清单.pdf</t>
        </is>
      </c>
      <c r="B1721" s="2" t="str">
        <f>=HYPERLINK("https://pan.quark.cn/s/143f6ca6eb06", "https://pan.quark.cn/s/143f6ca6eb06")</f>
        <v>https://pan.quark.cn/s/143f6ca6eb06</v>
      </c>
      <c r="C1721" t="inlineStr">
        <is>
          <t>33.2MB</t>
        </is>
      </c>
      <c r="D1721" t="inlineStr">
        <is>
          <t>/二年级语文/下册/核心考点/考点清单/K12/学龄儿童家长</t>
        </is>
      </c>
      <c r="E1721" t="inlineStr">
        <is>
          <t>https://dcn8qexvg13r.feishu.cn/share/base/query/shrcnMqxwwRkV3NUIUxPeab3sec</t>
        </is>
      </c>
      <c r="F1721" t="inlineStr">
        <is>
          <t>请添加微信：k846211</t>
        </is>
      </c>
      <c r="G1721" t="inlineStr">
        <is>
          <t>2026-03-14</t>
        </is>
      </c>
    </row>
    <row r="1722" ht="25.5" customHeight="1">
      <c r="A1722" t="inlineStr">
        <is>
          <t>26春三年级语文下册核心考点清单.pdf</t>
        </is>
      </c>
      <c r="B1722" s="2" t="str">
        <f>=HYPERLINK("https://pan.quark.cn/s/c561a00f64e2", "https://pan.quark.cn/s/c561a00f64e2")</f>
        <v>https://pan.quark.cn/s/c561a00f64e2</v>
      </c>
      <c r="C1722" t="inlineStr">
        <is>
          <t>47.2MB</t>
        </is>
      </c>
      <c r="D1722" t="inlineStr">
        <is>
          <t>/三年级语文/核心考点/考点清单/语文下册/K12/学龄儿童家长</t>
        </is>
      </c>
      <c r="E1722" t="inlineStr">
        <is>
          <t>https://dcn8qexvg13r.feishu.cn/share/base/query/shrcnMqxwwRkV3NUIUxPeab3sec</t>
        </is>
      </c>
      <c r="F1722" t="inlineStr">
        <is>
          <t>请添加微信：k846211</t>
        </is>
      </c>
      <c r="G1722" t="inlineStr">
        <is>
          <t>2026-03-14</t>
        </is>
      </c>
    </row>
    <row r="1723" ht="25.5" customHeight="1">
      <c r="A1723" t="inlineStr">
        <is>
          <t>26春四年级语文下册核心考点清单.pdf</t>
        </is>
      </c>
      <c r="B1723" s="2" t="str">
        <f>=HYPERLINK("https://pan.quark.cn/s/1bff8295c76c", "https://pan.quark.cn/s/1bff8295c76c")</f>
        <v>https://pan.quark.cn/s/1bff8295c76c</v>
      </c>
      <c r="C1723" t="inlineStr">
        <is>
          <t>104.0MB</t>
        </is>
      </c>
      <c r="D1723" t="inlineStr">
        <is>
          <t>/四年级语文/核心考点/考点清单/K12/学龄儿童家长</t>
        </is>
      </c>
      <c r="E1723" t="inlineStr">
        <is>
          <t>https://dcn8qexvg13r.feishu.cn/share/base/query/shrcnMqxwwRkV3NUIUxPeab3sec</t>
        </is>
      </c>
      <c r="F1723" t="inlineStr">
        <is>
          <t>请添加微信：k846211</t>
        </is>
      </c>
      <c r="G1723" t="inlineStr">
        <is>
          <t>2026-03-14</t>
        </is>
      </c>
    </row>
    <row r="1724" ht="25.5" customHeight="1">
      <c r="A1724" t="inlineStr">
        <is>
          <t>26春五年级语文下册核心考点清单.pdf</t>
        </is>
      </c>
      <c r="B1724" s="2" t="str">
        <f>=HYPERLINK("https://pan.quark.cn/s/5205628c9fdf", "https://pan.quark.cn/s/5205628c9fdf")</f>
        <v>https://pan.quark.cn/s/5205628c9fdf</v>
      </c>
      <c r="C1724" t="inlineStr">
        <is>
          <t>45.5MB</t>
        </is>
      </c>
      <c r="D1724" t="inlineStr">
        <is>
          <t>/五年级语文/下册/核心考点/K12/学龄儿童家长</t>
        </is>
      </c>
      <c r="E1724" t="inlineStr">
        <is>
          <t>https://dcn8qexvg13r.feishu.cn/share/base/query/shrcnMqxwwRkV3NUIUxPeab3sec</t>
        </is>
      </c>
      <c r="F1724" t="inlineStr">
        <is>
          <t>请添加微信：k846211</t>
        </is>
      </c>
      <c r="G1724" t="inlineStr">
        <is>
          <t>2026-03-14</t>
        </is>
      </c>
    </row>
    <row r="1725" ht="25.5" customHeight="1">
      <c r="A1725" t="inlineStr">
        <is>
          <t>26春六年级语文下册核心考点清单.pdf</t>
        </is>
      </c>
      <c r="B1725" s="2" t="str">
        <f>=HYPERLINK("https://pan.quark.cn/s/f8966cc8848f", "https://pan.quark.cn/s/f8966cc8848f")</f>
        <v>https://pan.quark.cn/s/f8966cc8848f</v>
      </c>
      <c r="C1725" t="inlineStr">
        <is>
          <t>80.6MB</t>
        </is>
      </c>
      <c r="D1725" t="inlineStr">
        <is>
          <t>/六年级语文/核心考点/下册/考点清单/K12/学龄儿童家长</t>
        </is>
      </c>
      <c r="E1725" t="inlineStr">
        <is>
          <t>https://dcn8qexvg13r.feishu.cn/share/base/query/shrcnMqxwwRkV3NUIUxPeab3sec</t>
        </is>
      </c>
      <c r="F1725" t="inlineStr">
        <is>
          <t>请添加微信：k846211</t>
        </is>
      </c>
      <c r="G1725" t="inlineStr">
        <is>
          <t>2026-03-14</t>
        </is>
      </c>
    </row>
    <row r="1726" ht="25.5" customHeight="1">
      <c r="A1726" t="inlineStr">
        <is>
          <t>一年级数学几何专项训练</t>
        </is>
      </c>
      <c r="B1726" s="2" t="str">
        <f>=HYPERLINK("https://pan.quark.cn/s/ab8a16ad73ce", "https://pan.quark.cn/s/ab8a16ad73ce")</f>
        <v>https://pan.quark.cn/s/ab8a16ad73ce</v>
      </c>
      <c r="C1726" t="inlineStr">
        <is>
          <t>95.3MB</t>
        </is>
      </c>
      <c r="D1726" t="inlineStr">
        <is>
          <t>/一年级数学/几何/专项训练/数学练习/K12/学龄儿童家长</t>
        </is>
      </c>
      <c r="E1726" t="inlineStr">
        <is>
          <t>https://dcn8qexvg13r.feishu.cn/share/base/query/shrcnMqxwwRkV3NUIUxPeab3sec</t>
        </is>
      </c>
      <c r="F1726" t="inlineStr">
        <is>
          <t>请添加微信：k846211</t>
        </is>
      </c>
      <c r="G1726" t="inlineStr">
        <is>
          <t>2026-03-14</t>
        </is>
      </c>
    </row>
    <row r="1727" ht="25.5" customHeight="1">
      <c r="A1727" t="inlineStr">
        <is>
          <t>26春《练习帮》人教数学六下.pdf</t>
        </is>
      </c>
      <c r="B1727" s="2" t="str">
        <f>=HYPERLINK("https://pan.quark.cn/s/fa706f029057", "https://pan.quark.cn/s/fa706f029057")</f>
        <v>https://pan.quark.cn/s/fa706f029057</v>
      </c>
      <c r="C1727" t="inlineStr">
        <is>
          <t>248.3MB</t>
        </is>
      </c>
      <c r="D1727" t="inlineStr">
        <is>
          <t>/数学/练习/人教版/六年级下册/K12/学龄儿童家长</t>
        </is>
      </c>
      <c r="E1727" t="inlineStr">
        <is>
          <t>https://dcn8qexvg13r.feishu.cn/share/base/query/shrcnMqxwwRkV3NUIUxPeab3sec</t>
        </is>
      </c>
      <c r="F1727" t="inlineStr">
        <is>
          <t>请添加微信：k846211</t>
        </is>
      </c>
      <c r="G1727" t="inlineStr">
        <is>
          <t>2026-03-14</t>
        </is>
      </c>
    </row>
    <row r="1728" ht="25.5" customHeight="1">
      <c r="A1728" t="inlineStr">
        <is>
          <t>一年级（下）数学八大重点专项合集47页(1).pdf</t>
        </is>
      </c>
      <c r="B1728" s="2" t="str">
        <f>=HYPERLINK("https://pan.quark.cn/s/8d68f5f5ea6a", "https://pan.quark.cn/s/8d68f5f5ea6a")</f>
        <v>https://pan.quark.cn/s/8d68f5f5ea6a</v>
      </c>
      <c r="C1728" t="inlineStr">
        <is>
          <t>227.3MB</t>
        </is>
      </c>
      <c r="D1728" t="inlineStr">
        <is>
          <t>/一年级数学/重点专项/数学练习/K12/学龄儿童家长</t>
        </is>
      </c>
      <c r="E1728" t="inlineStr">
        <is>
          <t>https://dcn8qexvg13r.feishu.cn/share/base/query/shrcnMqxwwRkV3NUIUxPeab3sec</t>
        </is>
      </c>
      <c r="F1728" t="inlineStr">
        <is>
          <t>请添加微信：k846211</t>
        </is>
      </c>
      <c r="G1728" t="inlineStr">
        <is>
          <t>2026-03-14</t>
        </is>
      </c>
    </row>
    <row r="1729" ht="25.5" customHeight="1">
      <c r="A1729" t="inlineStr">
        <is>
          <t>语数英小纸条合集一年级下册(1)</t>
        </is>
      </c>
      <c r="B1729" s="2" t="str">
        <f>=HYPERLINK("https://pan.quark.cn/s/edc36e982deb", "https://pan.quark.cn/s/edc36e982deb")</f>
        <v>https://pan.quark.cn/s/edc36e982deb</v>
      </c>
      <c r="C1729" t="inlineStr">
        <is>
          <t>181.3MB</t>
        </is>
      </c>
      <c r="D1729" t="inlineStr">
        <is>
          <t>/语数英/一年级下册/小纸条/学龄儿童家长/K12</t>
        </is>
      </c>
      <c r="E1729" t="inlineStr">
        <is>
          <t>https://dcn8qexvg13r.feishu.cn/share/base/query/shrcnMqxwwRkV3NUIUxPeab3sec</t>
        </is>
      </c>
      <c r="F1729" t="inlineStr">
        <is>
          <t>请添加微信：k846211</t>
        </is>
      </c>
      <c r="G1729" t="inlineStr">
        <is>
          <t>2026-03-14</t>
        </is>
      </c>
    </row>
    <row r="1730" ht="25.5" customHeight="1">
      <c r="A1730" t="inlineStr">
        <is>
          <t>语数英小纸条合集二年级下册(1)</t>
        </is>
      </c>
      <c r="B1730" s="2" t="str">
        <f>=HYPERLINK("https://pan.quark.cn/s/f570813980cf", "https://pan.quark.cn/s/f570813980cf")</f>
        <v>https://pan.quark.cn/s/f570813980cf</v>
      </c>
      <c r="C1730" t="inlineStr">
        <is>
          <t>224.1MB</t>
        </is>
      </c>
      <c r="D1730" t="inlineStr">
        <is>
          <t>/语数英/二年级下册/小纸条/学习资料/K12/学龄儿童家长</t>
        </is>
      </c>
      <c r="E1730" t="inlineStr">
        <is>
          <t>https://dcn8qexvg13r.feishu.cn/share/base/query/shrcnMqxwwRkV3NUIUxPeab3sec</t>
        </is>
      </c>
      <c r="F1730" t="inlineStr">
        <is>
          <t>请添加微信：k846211</t>
        </is>
      </c>
      <c r="G1730" t="inlineStr">
        <is>
          <t>2026-03-14</t>
        </is>
      </c>
    </row>
    <row r="1731" ht="25.5" customHeight="1">
      <c r="A1731" t="inlineStr">
        <is>
          <t>语数英小纸条合集三年级下册(1)</t>
        </is>
      </c>
      <c r="B1731" s="2" t="str">
        <f>=HYPERLINK("https://pan.quark.cn/s/cfb4a1e7f540", "https://pan.quark.cn/s/cfb4a1e7f540")</f>
        <v>https://pan.quark.cn/s/cfb4a1e7f540</v>
      </c>
      <c r="C1731" t="inlineStr">
        <is>
          <t>416.0MB</t>
        </is>
      </c>
      <c r="D1731" t="inlineStr">
        <is>
          <t>/三年级下册/语数英/小纸条/学习资源/K12/学龄儿童家长</t>
        </is>
      </c>
      <c r="E1731" t="inlineStr">
        <is>
          <t>https://dcn8qexvg13r.feishu.cn/share/base/query/shrcnMqxwwRkV3NUIUxPeab3sec</t>
        </is>
      </c>
      <c r="F1731" t="inlineStr">
        <is>
          <t>请添加微信：k846211</t>
        </is>
      </c>
      <c r="G1731" t="inlineStr">
        <is>
          <t>2026-03-14</t>
        </is>
      </c>
    </row>
    <row r="1732" ht="25.5" customHeight="1">
      <c r="A1732" t="inlineStr">
        <is>
          <t>语数英小纸条合集四年级下册(1)</t>
        </is>
      </c>
      <c r="B1732" s="2" t="str">
        <f>=HYPERLINK("https://pan.quark.cn/s/5cbad69169ec", "https://pan.quark.cn/s/5cbad69169ec")</f>
        <v>https://pan.quark.cn/s/5cbad69169ec</v>
      </c>
      <c r="C1732" t="inlineStr">
        <is>
          <t>152.1MB</t>
        </is>
      </c>
      <c r="D1732" t="inlineStr">
        <is>
          <t>/四年级下册/语文/数学/英语/小纸条/K12/学龄儿童家长</t>
        </is>
      </c>
      <c r="E1732" t="inlineStr">
        <is>
          <t>https://dcn8qexvg13r.feishu.cn/share/base/query/shrcnMqxwwRkV3NUIUxPeab3sec</t>
        </is>
      </c>
      <c r="F1732" t="inlineStr">
        <is>
          <t>请添加微信：k846211</t>
        </is>
      </c>
      <c r="G1732" t="inlineStr">
        <is>
          <t>2026-03-14</t>
        </is>
      </c>
    </row>
    <row r="1733" ht="25.5" customHeight="1">
      <c r="A1733" t="inlineStr">
        <is>
          <t>语数英小纸条合集五年级下册(1)</t>
        </is>
      </c>
      <c r="B1733" s="2" t="str">
        <f>=HYPERLINK("https://pan.quark.cn/s/d5089743ca39", "https://pan.quark.cn/s/d5089743ca39")</f>
        <v>https://pan.quark.cn/s/d5089743ca39</v>
      </c>
      <c r="C1733" t="inlineStr">
        <is>
          <t>118.9MB</t>
        </is>
      </c>
      <c r="D1733" t="inlineStr">
        <is>
          <t>/五年级下册/语数英/小纸条/K12/学龄儿童家长</t>
        </is>
      </c>
      <c r="E1733" t="inlineStr">
        <is>
          <t>https://dcn8qexvg13r.feishu.cn/share/base/query/shrcnMqxwwRkV3NUIUxPeab3sec</t>
        </is>
      </c>
      <c r="F1733" t="inlineStr">
        <is>
          <t>请添加微信：k846211</t>
        </is>
      </c>
      <c r="G1733" t="inlineStr">
        <is>
          <t>2026-03-14</t>
        </is>
      </c>
    </row>
    <row r="1734" ht="25.5" customHeight="1">
      <c r="A1734" t="inlineStr">
        <is>
          <t>语数英小纸条合集六年级下册(1)</t>
        </is>
      </c>
      <c r="B1734" s="2" t="str">
        <f>=HYPERLINK("https://pan.quark.cn/s/dc6b502d4f88", "https://pan.quark.cn/s/dc6b502d4f88")</f>
        <v>https://pan.quark.cn/s/dc6b502d4f88</v>
      </c>
      <c r="C1734" t="inlineStr">
        <is>
          <t>83.8MB</t>
        </is>
      </c>
      <c r="D1734" t="inlineStr">
        <is>
          <t>/六年级下册/语数英/小纸条/K12/学龄儿童家长</t>
        </is>
      </c>
      <c r="E1734" t="inlineStr">
        <is>
          <t>https://dcn8qexvg13r.feishu.cn/share/base/query/shrcnMqxwwRkV3NUIUxPeab3sec</t>
        </is>
      </c>
      <c r="F1734" t="inlineStr">
        <is>
          <t>请添加微信：k846211</t>
        </is>
      </c>
      <c r="G1734" t="inlineStr">
        <is>
          <t>2026-03-14</t>
        </is>
      </c>
    </row>
    <row r="1735" ht="25.5" customHeight="1">
      <c r="A1735" t="inlineStr">
        <is>
          <t>🔥豆神古诗词精讲1-9年级</t>
        </is>
      </c>
      <c r="B1735" s="2" t="str">
        <f>=HYPERLINK("https://pan.quark.cn/s/273e4959841b", "https://pan.quark.cn/s/273e4959841b")</f>
        <v>https://pan.quark.cn/s/273e4959841b</v>
      </c>
      <c r="C1735" t="inlineStr">
        <is>
          <t>5.3GB</t>
        </is>
      </c>
      <c r="D1735" t="inlineStr">
        <is>
          <t>/古诗词/精讲/1-9年级/豆神/K12/学龄儿童家长</t>
        </is>
      </c>
      <c r="E1735" t="inlineStr">
        <is>
          <t>https://dcn8qexvg13r.feishu.cn/share/base/query/shrcnMqxwwRkV3NUIUxPeab3sec</t>
        </is>
      </c>
      <c r="F1735" t="inlineStr">
        <is>
          <t>请添加微信：k846211</t>
        </is>
      </c>
      <c r="G1735" t="inlineStr">
        <is>
          <t>2026-03-14</t>
        </is>
      </c>
    </row>
    <row r="1736" ht="25.5" customHeight="1">
      <c r="A1736" t="inlineStr">
        <is>
          <t>防失联 加资源群</t>
        </is>
      </c>
      <c r="B1736" s="2" t="str">
        <f>=HYPERLINK("https://pan.quark.cn/s/fc4e8f66f2ba", "https://pan.quark.cn/s/fc4e8f66f2ba")</f>
        <v>https://pan.quark.cn/s/fc4e8f66f2ba</v>
      </c>
      <c r="C1736" t="inlineStr">
        <is>
          <t>552.1KB</t>
        </is>
      </c>
      <c r="D1736" t="inlineStr">
        <is>
          <t>/防失联/资源群/信息获取/社交连接/其他</t>
        </is>
      </c>
      <c r="E1736" t="inlineStr">
        <is>
          <t>https://dcn8qexvg13r.feishu.cn/share/base/query/shrcnMqxwwRkV3NUIUxPeab3sec</t>
        </is>
      </c>
      <c r="F1736" t="inlineStr">
        <is>
          <t>请添加微信：k846211</t>
        </is>
      </c>
      <c r="G1736" t="inlineStr">
        <is>
          <t>2026-03-15</t>
        </is>
      </c>
    </row>
    <row r="1737" ht="25.5" customHeight="1">
      <c r="A1737" t="inlineStr">
        <is>
          <t>AI美女视频，流量收割机，利用豆包+即梦+可灵单作品10W+，赚各大平台创作者分成计划（98M）</t>
        </is>
      </c>
      <c r="B1737" s="2" t="str">
        <f>=HYPERLINK("https://pan.quark.cn/s/9e0f9a032397", "https://pan.quark.cn/s/9e0f9a032397")</f>
        <v>https://pan.quark.cn/s/9e0f9a032397</v>
      </c>
      <c r="C1737" t="inlineStr">
        <is>
          <t>98.7MB</t>
        </is>
      </c>
      <c r="D1737" t="inlineStr">
        <is>
          <t>/AI美女视频/流量运营/平台分成计划/豆包/即梦/可灵/特定行业从业者/技能入门</t>
        </is>
      </c>
      <c r="E1737" t="inlineStr">
        <is>
          <t>https://dcn8qexvg13r.feishu.cn/share/base/query/shrcnMqxwwRkV3NUIUxPeab3sec</t>
        </is>
      </c>
      <c r="F1737" t="inlineStr">
        <is>
          <t>请添加微信：k846211</t>
        </is>
      </c>
      <c r="G1737" t="inlineStr">
        <is>
          <t>2026-03-15</t>
        </is>
      </c>
    </row>
    <row r="1738" ht="25.5" customHeight="1">
      <c r="A1738" t="inlineStr">
        <is>
          <t>防失联 加资源群</t>
        </is>
      </c>
      <c r="B1738" s="2" t="str">
        <f>=HYPERLINK("https://pan.quark.cn/s/74352f55cac5", "https://pan.quark.cn/s/74352f55cac5")</f>
        <v>https://pan.quark.cn/s/74352f55cac5</v>
      </c>
      <c r="C1738" t="inlineStr">
        <is>
          <t>99.2MB</t>
        </is>
      </c>
      <c r="D1738" t="inlineStr">
        <is>
          <t>防失联/资源群/信息获取/社群加入/其他</t>
        </is>
      </c>
      <c r="E1738" t="inlineStr">
        <is>
          <t>https://dcn8qexvg13r.feishu.cn/share/base/query/shrcnMqxwwRkV3NUIUxPeab3sec</t>
        </is>
      </c>
      <c r="F1738" t="inlineStr">
        <is>
          <t>请添加微信：k846211</t>
        </is>
      </c>
      <c r="G1738" t="inlineStr">
        <is>
          <t>2026-03-15</t>
        </is>
      </c>
    </row>
    <row r="1739" ht="25.5" customHeight="1">
      <c r="A1739" t="inlineStr">
        <is>
          <t>AI美女视频，流量收割机，利用豆包+即梦+可灵单作品10W+，赚各大平台创作者分成计划（98M）</t>
        </is>
      </c>
      <c r="B1739" s="2" t="str">
        <f>=HYPERLINK("https://pan.quark.cn/s/a2f7f62b3e87", "https://pan.quark.cn/s/a2f7f62b3e87")</f>
        <v>https://pan.quark.cn/s/a2f7f62b3e87</v>
      </c>
      <c r="C1739" t="inlineStr">
        <is>
          <t>99.2MB</t>
        </is>
      </c>
      <c r="D1739" t="inlineStr">
        <is>
          <t>/AI美女视频/流量运营/创作者分成/豆包/即梦/特定行业从业者/白领</t>
        </is>
      </c>
      <c r="E1739" t="inlineStr">
        <is>
          <t>https://dcn8qexvg13r.feishu.cn/share/base/query/shrcnMqxwwRkV3NUIUxPeab3sec</t>
        </is>
      </c>
      <c r="F1739" t="inlineStr">
        <is>
          <t>请添加微信：k846211</t>
        </is>
      </c>
      <c r="G1739" t="inlineStr">
        <is>
          <t>2026-03-15</t>
        </is>
      </c>
    </row>
    <row r="1740" ht="25.5" customHeight="1">
      <c r="A1740" t="inlineStr">
        <is>
          <t>玉面情魔.mp4</t>
        </is>
      </c>
      <c r="B1740" s="2" t="str">
        <f>=HYPERLINK("https://pan.quark.cn/s/da73da28e401", "https://pan.quark.cn/s/da73da28e401")</f>
        <v>https://pan.quark.cn/s/da73da28e401</v>
      </c>
      <c r="C1740" t="inlineStr">
        <is>
          <t>5.6GB</t>
        </is>
      </c>
      <c r="D1740" t="inlineStr">
        <is>
          <t>/玉面情魔/剧情/电影/电影</t>
        </is>
      </c>
      <c r="E1740" t="inlineStr">
        <is>
          <t>https://dcn8qexvg13r.feishu.cn/share/base/query/shrcnMqxwwRkV3NUIUxPeab3sec</t>
        </is>
      </c>
      <c r="F1740" t="inlineStr">
        <is>
          <t>请添加微信：k846211</t>
        </is>
      </c>
      <c r="G1740" t="inlineStr">
        <is>
          <t>2026-03-15</t>
        </is>
      </c>
    </row>
    <row r="1741" ht="25.5" customHeight="1">
      <c r="A1741" t="inlineStr">
        <is>
          <t>人间世1-2季.医院纪录片</t>
        </is>
      </c>
      <c r="B1741" s="2" t="str">
        <f>=HYPERLINK("https://pan.quark.cn/s/8ac1ac0fe123", "https://pan.quark.cn/s/8ac1ac0fe123")</f>
        <v>https://pan.quark.cn/s/8ac1ac0fe123</v>
      </c>
      <c r="C1741" t="inlineStr">
        <is>
          <t>42.7GB</t>
        </is>
      </c>
      <c r="D1741" t="inlineStr">
        <is>
          <t>/医院纪实/社会现实/医疗题材/纪录片/特定行业从业者/纪录片</t>
        </is>
      </c>
      <c r="E1741" t="inlineStr">
        <is>
          <t>https://dcn8qexvg13r.feishu.cn/share/base/query/shrcnMqxwwRkV3NUIUxPeab3sec</t>
        </is>
      </c>
      <c r="F1741" t="inlineStr">
        <is>
          <t>请添加微信：k846211</t>
        </is>
      </c>
      <c r="G1741" t="inlineStr">
        <is>
          <t>2026-03-15</t>
        </is>
      </c>
    </row>
    <row r="1742" ht="25.5" customHeight="1">
      <c r="A1742" t="inlineStr">
        <is>
          <t>哈小浪 合集</t>
        </is>
      </c>
      <c r="B1742" s="2" t="str">
        <f>=HYPERLINK("https://pan.quark.cn/s/681a342d5a35", "https://pan.quark.cn/s/681a342d5a35")</f>
        <v>https://pan.quark.cn/s/681a342d5a35</v>
      </c>
      <c r="C1742" t="inlineStr">
        <is>
          <t>3.2GB</t>
        </is>
      </c>
      <c r="D1742" t="inlineStr">
        <is>
          <t>/其他/其他/其他/其他/其他</t>
        </is>
      </c>
      <c r="E1742" t="inlineStr">
        <is>
          <t>https://dcn8qexvg13r.feishu.cn/share/base/query/shrcnMqxwwRkV3NUIUxPeab3sec</t>
        </is>
      </c>
      <c r="F1742" t="inlineStr">
        <is>
          <t>请添加微信：k846211</t>
        </is>
      </c>
      <c r="G1742" t="inlineStr">
        <is>
          <t>2026-03-15</t>
        </is>
      </c>
    </row>
    <row r="1743" ht="25.5" customHeight="1">
      <c r="A1743" t="inlineStr">
        <is>
          <t>语文课堂笔记</t>
        </is>
      </c>
      <c r="B1743" s="2" t="str">
        <f>=HYPERLINK("https://pan.quark.cn/s/a728386b55a8", "https://pan.quark.cn/s/a728386b55a8")</f>
        <v>https://pan.quark.cn/s/a728386b55a8</v>
      </c>
      <c r="C1743" t="inlineStr">
        <is>
          <t>224.6MB</t>
        </is>
      </c>
      <c r="D1743" t="inlineStr">
        <is>
          <t>/语文/课堂笔记/学习辅助/K12/学龄儿童家长</t>
        </is>
      </c>
      <c r="E1743" t="inlineStr">
        <is>
          <t>https://dcn8qexvg13r.feishu.cn/share/base/query/shrcnMqxwwRkV3NUIUxPeab3sec</t>
        </is>
      </c>
      <c r="F1743" t="inlineStr">
        <is>
          <t>请添加微信：k846211</t>
        </is>
      </c>
      <c r="G1743" t="inlineStr">
        <is>
          <t>2026-03-15</t>
        </is>
      </c>
    </row>
    <row r="1744" ht="25.5" customHeight="1">
      <c r="A1744" t="inlineStr">
        <is>
          <t>语文课堂笔记(1)</t>
        </is>
      </c>
      <c r="B1744" s="2" t="str">
        <f>=HYPERLINK("https://pan.quark.cn/s/8c45e412edf7", "https://pan.quark.cn/s/8c45e412edf7")</f>
        <v>https://pan.quark.cn/s/8c45e412edf7</v>
      </c>
      <c r="C1744" t="inlineStr">
        <is>
          <t>225.1MB</t>
        </is>
      </c>
      <c r="D1744" t="inlineStr">
        <is>
          <t>/语文/课堂笔记/学习辅助/K12/学龄儿童家长</t>
        </is>
      </c>
      <c r="E1744" t="inlineStr">
        <is>
          <t>https://dcn8qexvg13r.feishu.cn/share/base/query/shrcnMqxwwRkV3NUIUxPeab3sec</t>
        </is>
      </c>
      <c r="F1744" t="inlineStr">
        <is>
          <t>请添加微信：k846211</t>
        </is>
      </c>
      <c r="G1744" t="inlineStr">
        <is>
          <t>2026-03-15</t>
        </is>
      </c>
    </row>
    <row r="1745" ht="25.5" customHeight="1">
      <c r="A1745" t="inlineStr">
        <is>
          <t>三年级下册课文仿写小练笔.pdf</t>
        </is>
      </c>
      <c r="B1745" s="2" t="str">
        <f>=HYPERLINK("https://pan.quark.cn/s/6311e6e876c9", "https://pan.quark.cn/s/6311e6e876c9")</f>
        <v>https://pan.quark.cn/s/6311e6e876c9</v>
      </c>
      <c r="C1745" t="inlineStr">
        <is>
          <t>114.7MB</t>
        </is>
      </c>
      <c r="D1745" t="inlineStr">
        <is>
          <t>/三年级下册/课文仿写/小练笔/K12/学龄儿童家长</t>
        </is>
      </c>
      <c r="E1745" t="inlineStr">
        <is>
          <t>https://dcn8qexvg13r.feishu.cn/share/base/query/shrcnMqxwwRkV3NUIUxPeab3sec</t>
        </is>
      </c>
      <c r="F1745" t="inlineStr">
        <is>
          <t>请添加微信：k846211</t>
        </is>
      </c>
      <c r="G1745" t="inlineStr">
        <is>
          <t>2026-03-15</t>
        </is>
      </c>
    </row>
    <row r="1746" ht="25.5" customHeight="1">
      <c r="A1746" t="inlineStr">
        <is>
          <t>办公室+生活日常瑜伽</t>
        </is>
      </c>
      <c r="B1746" s="2" t="str">
        <f>=HYPERLINK("https://pan.quark.cn/s/f5294fba5e84", "https://pan.quark.cn/s/f5294fba5e84")</f>
        <v>https://pan.quark.cn/s/f5294fba5e84</v>
      </c>
      <c r="C1746" t="inlineStr">
        <is>
          <t>4.9GB</t>
        </is>
      </c>
      <c r="D1746" t="inlineStr">
        <is>
          <t>/办公室瑜伽/生活日常/瑜伽练习/舒缓放松/白领</t>
        </is>
      </c>
      <c r="E1746" t="inlineStr">
        <is>
          <t>https://dcn8qexvg13r.feishu.cn/share/base/query/shrcnMqxwwRkV3NUIUxPeab3sec</t>
        </is>
      </c>
      <c r="F1746" t="inlineStr">
        <is>
          <t>请添加微信：k846211</t>
        </is>
      </c>
      <c r="G1746" t="inlineStr">
        <is>
          <t>2026-03-15</t>
        </is>
      </c>
    </row>
    <row r="1747" ht="25.5" customHeight="1">
      <c r="A1747" t="inlineStr">
        <is>
          <t>web安全内部培训</t>
        </is>
      </c>
      <c r="B1747" s="2" t="str">
        <f>=HYPERLINK("https://pan.quark.cn/s/6fa964852d69", "https://pan.quark.cn/s/6fa964852d69")</f>
        <v>https://pan.quark.cn/s/6fa964852d69</v>
      </c>
      <c r="C1747" t="inlineStr">
        <is>
          <t>34.6GB</t>
        </is>
      </c>
      <c r="D1747" t="inlineStr">
        <is>
          <t>/web安全/内部培训/网络安全/安全培训/白领/特定行业从业者</t>
        </is>
      </c>
      <c r="E1747" t="inlineStr">
        <is>
          <t>https://dcn8qexvg13r.feishu.cn/share/base/query/shrcnMqxwwRkV3NUIUxPeab3sec</t>
        </is>
      </c>
      <c r="F1747" t="inlineStr">
        <is>
          <t>请添加微信：k846211</t>
        </is>
      </c>
      <c r="G1747" t="inlineStr">
        <is>
          <t>2026-03-15</t>
        </is>
      </c>
    </row>
    <row r="1748" ht="25.5" customHeight="1">
      <c r="A1748" t="inlineStr">
        <is>
          <t>一年级下册课文仿写小练笔.pdf</t>
        </is>
      </c>
      <c r="B1748" s="2" t="str">
        <f>=HYPERLINK("https://pan.quark.cn/s/73e7abb3f37d", "https://pan.quark.cn/s/73e7abb3f37d")</f>
        <v>https://pan.quark.cn/s/73e7abb3f37d</v>
      </c>
      <c r="C1748" t="inlineStr">
        <is>
          <t>13.2MB</t>
        </is>
      </c>
      <c r="D1748" t="inlineStr">
        <is>
          <t>/一年级下册/课文仿写/小练笔/语文练习/K12/学龄儿童家长</t>
        </is>
      </c>
      <c r="E1748" t="inlineStr">
        <is>
          <t>https://dcn8qexvg13r.feishu.cn/share/base/query/shrcnMqxwwRkV3NUIUxPeab3sec</t>
        </is>
      </c>
      <c r="F1748" t="inlineStr">
        <is>
          <t>请添加微信：k846211</t>
        </is>
      </c>
      <c r="G1748" t="inlineStr">
        <is>
          <t>2026-03-15</t>
        </is>
      </c>
    </row>
    <row r="1749" ht="25.5" customHeight="1">
      <c r="A1749" t="inlineStr">
        <is>
          <t>二年级下册课文仿写小练笔.pdf</t>
        </is>
      </c>
      <c r="B1749" s="2" t="str">
        <f>=HYPERLINK("https://pan.quark.cn/s/5e29acdfc282", "https://pan.quark.cn/s/5e29acdfc282")</f>
        <v>https://pan.quark.cn/s/5e29acdfc282</v>
      </c>
      <c r="C1749" t="inlineStr">
        <is>
          <t>23.8MB</t>
        </is>
      </c>
      <c r="D1749" t="inlineStr">
        <is>
          <t>/二年级下册/课文仿写/小练笔/写作练习/K12/学龄儿童家长</t>
        </is>
      </c>
      <c r="E1749" t="inlineStr">
        <is>
          <t>https://dcn8qexvg13r.feishu.cn/share/base/query/shrcnMqxwwRkV3NUIUxPeab3sec</t>
        </is>
      </c>
      <c r="F1749" t="inlineStr">
        <is>
          <t>请添加微信：k846211</t>
        </is>
      </c>
      <c r="G1749" t="inlineStr">
        <is>
          <t>2026-03-15</t>
        </is>
      </c>
    </row>
    <row r="1750" ht="25.5" customHeight="1">
      <c r="A1750" t="inlineStr">
        <is>
          <t>小飞象同步作文与阅读理解5年级下册.pdf</t>
        </is>
      </c>
      <c r="B1750" s="2" t="str">
        <f>=HYPERLINK("https://pan.quark.cn/s/48e1de981f13", "https://pan.quark.cn/s/48e1de981f13")</f>
        <v>https://pan.quark.cn/s/48e1de981f13</v>
      </c>
      <c r="C1750" t="inlineStr">
        <is>
          <t>267.0MB</t>
        </is>
      </c>
      <c r="D1750" t="inlineStr">
        <is>
          <t>/同步作文/阅读理解/五年级下册/语文学习/K12/学龄儿童家长</t>
        </is>
      </c>
      <c r="E1750" t="inlineStr">
        <is>
          <t>https://dcn8qexvg13r.feishu.cn/share/base/query/shrcnMqxwwRkV3NUIUxPeab3sec</t>
        </is>
      </c>
      <c r="F1750" t="inlineStr">
        <is>
          <t>请添加微信：k846211</t>
        </is>
      </c>
      <c r="G1750" t="inlineStr">
        <is>
          <t>2026-03-15</t>
        </is>
      </c>
    </row>
    <row r="1751" ht="25.5" customHeight="1">
      <c r="A1751" t="inlineStr">
        <is>
          <t>1下小学数学试卷（48份）【西师大版】</t>
        </is>
      </c>
      <c r="B1751" s="2" t="str">
        <f>=HYPERLINK("https://pan.quark.cn/s/99d046b0b529", "https://pan.quark.cn/s/99d046b0b529")</f>
        <v>https://pan.quark.cn/s/99d046b0b529</v>
      </c>
      <c r="C1751" t="inlineStr">
        <is>
          <t>15.2MB</t>
        </is>
      </c>
      <c r="D1751" t="inlineStr">
        <is>
          <t>/小学数学/西师大版/试卷/1年级下册/K12/学龄儿童家长</t>
        </is>
      </c>
      <c r="E1751" t="inlineStr">
        <is>
          <t>https://dcn8qexvg13r.feishu.cn/share/base/query/shrcnMqxwwRkV3NUIUxPeab3sec</t>
        </is>
      </c>
      <c r="F1751" t="inlineStr">
        <is>
          <t>请添加微信：k846211</t>
        </is>
      </c>
      <c r="G1751" t="inlineStr">
        <is>
          <t>2026-03-15</t>
        </is>
      </c>
    </row>
    <row r="1752" ht="25.5" customHeight="1">
      <c r="A1752" t="inlineStr">
        <is>
          <t>【一下数学】重点资料+专项练习</t>
        </is>
      </c>
      <c r="B1752" s="2" t="str">
        <f>=HYPERLINK("https://pan.quark.cn/s/1aca695d2410", "https://pan.quark.cn/s/1aca695d2410")</f>
        <v>https://pan.quark.cn/s/1aca695d2410</v>
      </c>
      <c r="C1752" t="inlineStr">
        <is>
          <t>1.6MB</t>
        </is>
      </c>
      <c r="D1752" t="inlineStr">
        <is>
          <t>/一下数学/重点资料/专项练习/K12/学龄儿童家长</t>
        </is>
      </c>
      <c r="E1752" t="inlineStr">
        <is>
          <t>https://dcn8qexvg13r.feishu.cn/share/base/query/shrcnMqxwwRkV3NUIUxPeab3sec</t>
        </is>
      </c>
      <c r="F1752" t="inlineStr">
        <is>
          <t>请添加微信：k846211</t>
        </is>
      </c>
      <c r="G1752" t="inlineStr">
        <is>
          <t>2026-03-15</t>
        </is>
      </c>
    </row>
    <row r="1753" ht="25.5" customHeight="1">
      <c r="A1753" t="inlineStr">
        <is>
          <t>【数学一下】 各版本重点知识汇编（诵读）</t>
        </is>
      </c>
      <c r="B1753" s="2" t="str">
        <f>=HYPERLINK("https://pan.quark.cn/s/592e98c915c0", "https://pan.quark.cn/s/592e98c915c0")</f>
        <v>https://pan.quark.cn/s/592e98c915c0</v>
      </c>
      <c r="C1753" t="inlineStr">
        <is>
          <t>1.2MB</t>
        </is>
      </c>
      <c r="D1753" t="inlineStr">
        <is>
          <t>/数学/一年级下册/重点知识/诵读/K12/学龄儿童家长</t>
        </is>
      </c>
      <c r="E1753" t="inlineStr">
        <is>
          <t>https://dcn8qexvg13r.feishu.cn/share/base/query/shrcnMqxwwRkV3NUIUxPeab3sec</t>
        </is>
      </c>
      <c r="F1753" t="inlineStr">
        <is>
          <t>请添加微信：k846211</t>
        </is>
      </c>
      <c r="G1753" t="inlineStr">
        <is>
          <t>2026-03-15</t>
        </is>
      </c>
    </row>
    <row r="1754" ht="25.5" customHeight="1">
      <c r="A1754" t="inlineStr">
        <is>
          <t>【数学一下】 知识点归纳</t>
        </is>
      </c>
      <c r="B1754" s="2" t="str">
        <f>=HYPERLINK("https://pan.quark.cn/s/3f832d7052ac", "https://pan.quark.cn/s/3f832d7052ac")</f>
        <v>https://pan.quark.cn/s/3f832d7052ac</v>
      </c>
      <c r="C1754" t="inlineStr">
        <is>
          <t>5.1MB</t>
        </is>
      </c>
      <c r="D1754" t="inlineStr">
        <is>
          <t>/数学/一年级下册/知识点/归纳/K12/学龄儿童家长</t>
        </is>
      </c>
      <c r="E1754" t="inlineStr">
        <is>
          <t>https://dcn8qexvg13r.feishu.cn/share/base/query/shrcnMqxwwRkV3NUIUxPeab3sec</t>
        </is>
      </c>
      <c r="F1754" t="inlineStr">
        <is>
          <t>请添加微信：k846211</t>
        </is>
      </c>
      <c r="G1754" t="inlineStr">
        <is>
          <t>2026-03-15</t>
        </is>
      </c>
    </row>
    <row r="1755" ht="25.5" customHeight="1">
      <c r="A1755" t="inlineStr">
        <is>
          <t>【数学一下】 西师版一课一练</t>
        </is>
      </c>
      <c r="B1755" s="2" t="str">
        <f>=HYPERLINK("https://pan.quark.cn/s/a40b35f5b230", "https://pan.quark.cn/s/a40b35f5b230")</f>
        <v>https://pan.quark.cn/s/a40b35f5b230</v>
      </c>
      <c r="C1755" t="inlineStr">
        <is>
          <t>2.7MB</t>
        </is>
      </c>
      <c r="D1755" t="inlineStr">
        <is>
          <t>/数学/一年级下册/西师版/一课一练/K12/学龄儿童家长</t>
        </is>
      </c>
      <c r="E1755" t="inlineStr">
        <is>
          <t>https://dcn8qexvg13r.feishu.cn/share/base/query/shrcnMqxwwRkV3NUIUxPeab3sec</t>
        </is>
      </c>
      <c r="F1755" t="inlineStr">
        <is>
          <t>请添加微信：k846211</t>
        </is>
      </c>
      <c r="G1755" t="inlineStr">
        <is>
          <t>2026-03-15</t>
        </is>
      </c>
    </row>
    <row r="1756" ht="25.5" customHeight="1">
      <c r="A1756" t="inlineStr">
        <is>
          <t>【数学一下】 西师版单元 期末期中试卷</t>
        </is>
      </c>
      <c r="B1756" s="2" t="str">
        <f>=HYPERLINK("https://pan.quark.cn/s/4616fbd8211a", "https://pan.quark.cn/s/4616fbd8211a")</f>
        <v>https://pan.quark.cn/s/4616fbd8211a</v>
      </c>
      <c r="C1756" t="inlineStr">
        <is>
          <t>4.7MB</t>
        </is>
      </c>
      <c r="D1756" t="inlineStr">
        <is>
          <t>/数学/一年级下册/西师版/单元测试/期中测试/期末测试/K12/学龄儿童家长</t>
        </is>
      </c>
      <c r="E1756" t="inlineStr">
        <is>
          <t>https://dcn8qexvg13r.feishu.cn/share/base/query/shrcnMqxwwRkV3NUIUxPeab3sec</t>
        </is>
      </c>
      <c r="F1756" t="inlineStr">
        <is>
          <t>请添加微信：k846211</t>
        </is>
      </c>
      <c r="G1756" t="inlineStr">
        <is>
          <t>2026-03-15</t>
        </is>
      </c>
    </row>
    <row r="1757" ht="25.5" customHeight="1">
      <c r="A1757" t="inlineStr">
        <is>
          <t>【数学】二下 各版本重点知识汇编（诵读）</t>
        </is>
      </c>
      <c r="B1757" s="2" t="str">
        <f>=HYPERLINK("https://pan.quark.cn/s/2bb6423127f2", "https://pan.quark.cn/s/2bb6423127f2")</f>
        <v>https://pan.quark.cn/s/2bb6423127f2</v>
      </c>
      <c r="C1757" t="inlineStr">
        <is>
          <t>14.3MB</t>
        </is>
      </c>
      <c r="D1757" t="inlineStr">
        <is>
          <t>/数学/二年级下册/重点知识/诵读/K12/学龄儿童家长</t>
        </is>
      </c>
      <c r="E1757" t="inlineStr">
        <is>
          <t>https://dcn8qexvg13r.feishu.cn/share/base/query/shrcnMqxwwRkV3NUIUxPeab3sec</t>
        </is>
      </c>
      <c r="F1757" t="inlineStr">
        <is>
          <t>请添加微信：k846211</t>
        </is>
      </c>
      <c r="G1757" t="inlineStr">
        <is>
          <t>2026-03-15</t>
        </is>
      </c>
    </row>
    <row r="1758" ht="25.5" customHeight="1">
      <c r="A1758" t="inlineStr">
        <is>
          <t>【数学】各版本通用专项训练</t>
        </is>
      </c>
      <c r="B1758" s="2" t="str">
        <f>=HYPERLINK("https://pan.quark.cn/s/ab36f081e699", "https://pan.quark.cn/s/ab36f081e699")</f>
        <v>https://pan.quark.cn/s/ab36f081e699</v>
      </c>
      <c r="C1758" t="inlineStr">
        <is>
          <t>3.0MB</t>
        </is>
      </c>
      <c r="D1758" t="inlineStr">
        <is>
          <t>/数学/专项训练/各版本通用/K12/学龄儿童家长</t>
        </is>
      </c>
      <c r="E1758" t="inlineStr">
        <is>
          <t>https://dcn8qexvg13r.feishu.cn/share/base/query/shrcnMqxwwRkV3NUIUxPeab3sec</t>
        </is>
      </c>
      <c r="F1758" t="inlineStr">
        <is>
          <t>请添加微信：k846211</t>
        </is>
      </c>
      <c r="G1758" t="inlineStr">
        <is>
          <t>2026-03-15</t>
        </is>
      </c>
    </row>
    <row r="1759" ht="25.5" customHeight="1">
      <c r="A1759" t="inlineStr">
        <is>
          <t>【数学】通用练习题</t>
        </is>
      </c>
      <c r="B1759" s="2" t="str">
        <f>=HYPERLINK("https://pan.quark.cn/s/2e9a9e2a5ec5", "https://pan.quark.cn/s/2e9a9e2a5ec5")</f>
        <v>https://pan.quark.cn/s/2e9a9e2a5ec5</v>
      </c>
      <c r="C1759" t="inlineStr">
        <is>
          <t>136.9MB</t>
        </is>
      </c>
      <c r="D1759" t="inlineStr">
        <is>
          <t>/数学/练习题/通用/K12/大学生</t>
        </is>
      </c>
      <c r="E1759" t="inlineStr">
        <is>
          <t>https://dcn8qexvg13r.feishu.cn/share/base/query/shrcnMqxwwRkV3NUIUxPeab3sec</t>
        </is>
      </c>
      <c r="F1759" t="inlineStr">
        <is>
          <t>请添加微信：k846211</t>
        </is>
      </c>
      <c r="G1759" t="inlineStr">
        <is>
          <t>2026-03-15</t>
        </is>
      </c>
    </row>
    <row r="1760" ht="25.5" customHeight="1">
      <c r="A1760" t="inlineStr">
        <is>
          <t>【数学】重点必背</t>
        </is>
      </c>
      <c r="B1760" s="2" t="str">
        <f>=HYPERLINK("https://pan.quark.cn/s/0ad74a4c201d", "https://pan.quark.cn/s/0ad74a4c201d")</f>
        <v>https://pan.quark.cn/s/0ad74a4c201d</v>
      </c>
      <c r="C1760" t="inlineStr">
        <is>
          <t>4.2MB</t>
        </is>
      </c>
      <c r="D1760" t="inlineStr">
        <is>
          <t>/数学/重点/必背/K12/大学生</t>
        </is>
      </c>
      <c r="E1760" t="inlineStr">
        <is>
          <t>https://dcn8qexvg13r.feishu.cn/share/base/query/shrcnMqxwwRkV3NUIUxPeab3sec</t>
        </is>
      </c>
      <c r="F1760" t="inlineStr">
        <is>
          <t>请添加微信：k846211</t>
        </is>
      </c>
      <c r="G1760" t="inlineStr">
        <is>
          <t>2026-03-15</t>
        </is>
      </c>
    </row>
    <row r="1761" ht="25.5" customHeight="1">
      <c r="A1761" t="inlineStr">
        <is>
          <t>【数学】二下 各版本重点知识汇编（诵读）</t>
        </is>
      </c>
      <c r="B1761" s="2" t="str">
        <f>=HYPERLINK("https://pan.quark.cn/s/835cfc536b59", "https://pan.quark.cn/s/835cfc536b59")</f>
        <v>https://pan.quark.cn/s/835cfc536b59</v>
      </c>
      <c r="C1761" t="inlineStr">
        <is>
          <t>14.3MB</t>
        </is>
      </c>
      <c r="D1761" t="inlineStr">
        <is>
          <t>/数学/二年级下册/重点知识/诵读/K12/学龄儿童家长</t>
        </is>
      </c>
      <c r="E1761" t="inlineStr">
        <is>
          <t>https://dcn8qexvg13r.feishu.cn/share/base/query/shrcnMqxwwRkV3NUIUxPeab3sec</t>
        </is>
      </c>
      <c r="F1761" t="inlineStr">
        <is>
          <t>请添加微信：k846211</t>
        </is>
      </c>
      <c r="G1761" t="inlineStr">
        <is>
          <t>2026-03-15</t>
        </is>
      </c>
    </row>
    <row r="1762" ht="25.5" customHeight="1">
      <c r="A1762" t="inlineStr">
        <is>
          <t>【数学通用】重点必背资料+专项</t>
        </is>
      </c>
      <c r="B1762" s="2" t="str">
        <f>=HYPERLINK("https://pan.quark.cn/s/d0bea3ad8987", "https://pan.quark.cn/s/d0bea3ad8987")</f>
        <v>https://pan.quark.cn/s/d0bea3ad8987</v>
      </c>
      <c r="C1762" t="inlineStr">
        <is>
          <t>4.8MB</t>
        </is>
      </c>
      <c r="D1762" t="inlineStr">
        <is>
          <t>/数学/重点必背/专项/K12/考研/考公/考证党</t>
        </is>
      </c>
      <c r="E1762" t="inlineStr">
        <is>
          <t>https://dcn8qexvg13r.feishu.cn/share/base/query/shrcnMqxwwRkV3NUIUxPeab3sec</t>
        </is>
      </c>
      <c r="F1762" t="inlineStr">
        <is>
          <t>请添加微信：k846211</t>
        </is>
      </c>
      <c r="G1762" t="inlineStr">
        <is>
          <t>2026-03-15</t>
        </is>
      </c>
    </row>
    <row r="1763" ht="25.5" customHeight="1">
      <c r="A1763" t="inlineStr">
        <is>
          <t>【数学】各版本通用专项训练</t>
        </is>
      </c>
      <c r="B1763" s="2" t="str">
        <f>=HYPERLINK("https://pan.quark.cn/s/a8f547cd3710", "https://pan.quark.cn/s/a8f547cd3710")</f>
        <v>https://pan.quark.cn/s/a8f547cd3710</v>
      </c>
      <c r="C1763" t="inlineStr">
        <is>
          <t>3.0MB</t>
        </is>
      </c>
      <c r="D1763" t="inlineStr">
        <is>
          <t>/数学/专项训练/各版本通用/K12/学龄儿童家长</t>
        </is>
      </c>
      <c r="E1763" t="inlineStr">
        <is>
          <t>https://dcn8qexvg13r.feishu.cn/share/base/query/shrcnMqxwwRkV3NUIUxPeab3sec</t>
        </is>
      </c>
      <c r="F1763" t="inlineStr">
        <is>
          <t>请添加微信：k846211</t>
        </is>
      </c>
      <c r="G1763" t="inlineStr">
        <is>
          <t>2026-03-15</t>
        </is>
      </c>
    </row>
    <row r="1764" ht="25.5" customHeight="1">
      <c r="A1764" t="inlineStr">
        <is>
          <t>【数学】通用练习题</t>
        </is>
      </c>
      <c r="B1764" s="2" t="str">
        <f>=HYPERLINK("https://pan.quark.cn/s/c01df22fa792", "https://pan.quark.cn/s/c01df22fa792")</f>
        <v>https://pan.quark.cn/s/c01df22fa792</v>
      </c>
      <c r="C1764" t="inlineStr">
        <is>
          <t>136.9MB</t>
        </is>
      </c>
      <c r="D1764" t="inlineStr">
        <is>
          <t>/数学/练习题/通用/K12/大学生</t>
        </is>
      </c>
      <c r="E1764" t="inlineStr">
        <is>
          <t>https://dcn8qexvg13r.feishu.cn/share/base/query/shrcnMqxwwRkV3NUIUxPeab3sec</t>
        </is>
      </c>
      <c r="F1764" t="inlineStr">
        <is>
          <t>请添加微信：k846211</t>
        </is>
      </c>
      <c r="G1764" t="inlineStr">
        <is>
          <t>2026-03-15</t>
        </is>
      </c>
    </row>
    <row r="1765" ht="25.5" customHeight="1">
      <c r="A1765" t="inlineStr">
        <is>
          <t>【数学】重点必背</t>
        </is>
      </c>
      <c r="B1765" s="2" t="str">
        <f>=HYPERLINK("https://pan.quark.cn/s/b03d3f7fa946", "https://pan.quark.cn/s/b03d3f7fa946")</f>
        <v>https://pan.quark.cn/s/b03d3f7fa946</v>
      </c>
      <c r="C1765" t="inlineStr">
        <is>
          <t>4.2MB</t>
        </is>
      </c>
      <c r="D1765" t="inlineStr">
        <is>
          <t>/数学/重点/必背/K12/考研/考公/考证党</t>
        </is>
      </c>
      <c r="E1765" t="inlineStr">
        <is>
          <t>https://dcn8qexvg13r.feishu.cn/share/base/query/shrcnMqxwwRkV3NUIUxPeab3sec</t>
        </is>
      </c>
      <c r="F1765" t="inlineStr">
        <is>
          <t>请添加微信：k846211</t>
        </is>
      </c>
      <c r="G1765" t="inlineStr">
        <is>
          <t>2026-03-15</t>
        </is>
      </c>
    </row>
    <row r="1766" ht="25.5" customHeight="1">
      <c r="A1766" t="inlineStr">
        <is>
          <t>【数学通用】重点必背资料+专项</t>
        </is>
      </c>
      <c r="B1766" s="2" t="str">
        <f>=HYPERLINK("https://pan.quark.cn/s/abef5a3f2f73", "https://pan.quark.cn/s/abef5a3f2f73")</f>
        <v>https://pan.quark.cn/s/abef5a3f2f73</v>
      </c>
      <c r="C1766" t="inlineStr">
        <is>
          <t>4.8MB</t>
        </is>
      </c>
      <c r="D1766" t="inlineStr">
        <is>
          <t>/数学/重点必背/专项/K12/考研/考公/考证党</t>
        </is>
      </c>
      <c r="E1766" t="inlineStr">
        <is>
          <t>https://dcn8qexvg13r.feishu.cn/share/base/query/shrcnMqxwwRkV3NUIUxPeab3sec</t>
        </is>
      </c>
      <c r="F1766" t="inlineStr">
        <is>
          <t>请添加微信：k846211</t>
        </is>
      </c>
      <c r="G1766" t="inlineStr">
        <is>
          <t>2026-03-15</t>
        </is>
      </c>
    </row>
    <row r="1767" ht="25.5" customHeight="1">
      <c r="A1767" t="inlineStr">
        <is>
          <t>【数学】专项训练</t>
        </is>
      </c>
      <c r="B1767" s="2" t="str">
        <f>=HYPERLINK("https://pan.quark.cn/s/50cc22e1ef1d", "https://pan.quark.cn/s/50cc22e1ef1d")</f>
        <v>https://pan.quark.cn/s/50cc22e1ef1d</v>
      </c>
      <c r="C1767" t="inlineStr">
        <is>
          <t>6.5MB</t>
        </is>
      </c>
      <c r="D1767" t="inlineStr">
        <is>
          <t>/数学/专项训练/学科提升/K12/考研/考公/考证党</t>
        </is>
      </c>
      <c r="E1767" t="inlineStr">
        <is>
          <t>https://dcn8qexvg13r.feishu.cn/share/base/query/shrcnMqxwwRkV3NUIUxPeab3sec</t>
        </is>
      </c>
      <c r="F1767" t="inlineStr">
        <is>
          <t>请添加微信：k846211</t>
        </is>
      </c>
      <c r="G1767" t="inlineStr">
        <is>
          <t>2026-03-15</t>
        </is>
      </c>
    </row>
    <row r="1768" ht="25.5" customHeight="1">
      <c r="A1768" t="inlineStr">
        <is>
          <t>【数学三下】 西师大版</t>
        </is>
      </c>
      <c r="B1768" s="2" t="str">
        <f>=HYPERLINK("https://pan.quark.cn/s/7ba3c5a7e6ae", "https://pan.quark.cn/s/7ba3c5a7e6ae")</f>
        <v>https://pan.quark.cn/s/7ba3c5a7e6ae</v>
      </c>
      <c r="C1768" t="inlineStr">
        <is>
          <t>48.0MB</t>
        </is>
      </c>
      <c r="D1768" t="inlineStr">
        <is>
          <t>/数学/三年级下册/西师大版/K12/学龄儿童家长</t>
        </is>
      </c>
      <c r="E1768" t="inlineStr">
        <is>
          <t>https://dcn8qexvg13r.feishu.cn/share/base/query/shrcnMqxwwRkV3NUIUxPeab3sec</t>
        </is>
      </c>
      <c r="F1768" t="inlineStr">
        <is>
          <t>请添加微信：k846211</t>
        </is>
      </c>
      <c r="G1768" t="inlineStr">
        <is>
          <t>2026-03-15</t>
        </is>
      </c>
    </row>
    <row r="1769" ht="25.5" customHeight="1">
      <c r="A1769" t="inlineStr">
        <is>
          <t>【数学三下】 通用版</t>
        </is>
      </c>
      <c r="B1769" s="2" t="str">
        <f>=HYPERLINK("https://pan.quark.cn/s/f02a7734cb99", "https://pan.quark.cn/s/f02a7734cb99")</f>
        <v>https://pan.quark.cn/s/f02a7734cb99</v>
      </c>
      <c r="C1769" t="inlineStr">
        <is>
          <t>34.1MB</t>
        </is>
      </c>
      <c r="D1769" t="inlineStr">
        <is>
          <t>/数学/三年级下册/通用版/K12/学龄儿童家长</t>
        </is>
      </c>
      <c r="E1769" t="inlineStr">
        <is>
          <t>https://dcn8qexvg13r.feishu.cn/share/base/query/shrcnMqxwwRkV3NUIUxPeab3sec</t>
        </is>
      </c>
      <c r="F1769" t="inlineStr">
        <is>
          <t>请添加微信：k846211</t>
        </is>
      </c>
      <c r="G1769" t="inlineStr">
        <is>
          <t>2026-03-15</t>
        </is>
      </c>
    </row>
    <row r="1770" ht="25.5" customHeight="1">
      <c r="A1770" t="inlineStr">
        <is>
          <t>【数学三下】 通用版专题训练</t>
        </is>
      </c>
      <c r="B1770" s="2" t="str">
        <f>=HYPERLINK("https://pan.quark.cn/s/5ea3f8b390aa", "https://pan.quark.cn/s/5ea3f8b390aa")</f>
        <v>https://pan.quark.cn/s/5ea3f8b390aa</v>
      </c>
      <c r="C1770" t="inlineStr">
        <is>
          <t>154.9MB</t>
        </is>
      </c>
      <c r="D1770" t="inlineStr">
        <is>
          <t>/数学/三年级下册/专题训练/通用版/K12/学龄儿童家长</t>
        </is>
      </c>
      <c r="E1770" t="inlineStr">
        <is>
          <t>https://dcn8qexvg13r.feishu.cn/share/base/query/shrcnMqxwwRkV3NUIUxPeab3sec</t>
        </is>
      </c>
      <c r="F1770" t="inlineStr">
        <is>
          <t>请添加微信：k846211</t>
        </is>
      </c>
      <c r="G1770" t="inlineStr">
        <is>
          <t>2026-03-15</t>
        </is>
      </c>
    </row>
    <row r="1771" ht="25.5" customHeight="1">
      <c r="A1771" t="inlineStr">
        <is>
          <t>【数学】期中检测</t>
        </is>
      </c>
      <c r="B1771" s="2" t="str">
        <f>=HYPERLINK("https://pan.quark.cn/s/c72cdda21639", "https://pan.quark.cn/s/c72cdda21639")</f>
        <v>https://pan.quark.cn/s/c72cdda21639</v>
      </c>
      <c r="C1771" t="inlineStr">
        <is>
          <t>5.9MB</t>
        </is>
      </c>
      <c r="D1771" t="inlineStr">
        <is>
          <t>/数学/期中检测/学习评估/K12/学龄儿童家长</t>
        </is>
      </c>
      <c r="E1771" t="inlineStr">
        <is>
          <t>https://dcn8qexvg13r.feishu.cn/share/base/query/shrcnMqxwwRkV3NUIUxPeab3sec</t>
        </is>
      </c>
      <c r="F1771" t="inlineStr">
        <is>
          <t>请添加微信：k846211</t>
        </is>
      </c>
      <c r="G1771" t="inlineStr">
        <is>
          <t>2026-03-15</t>
        </is>
      </c>
    </row>
    <row r="1772" ht="25.5" customHeight="1">
      <c r="A1772" t="inlineStr">
        <is>
          <t>【数学】四下 西师大</t>
        </is>
      </c>
      <c r="B1772" s="2" t="str">
        <f>=HYPERLINK("https://pan.quark.cn/s/84c4fb12434c", "https://pan.quark.cn/s/84c4fb12434c")</f>
        <v>https://pan.quark.cn/s/84c4fb12434c</v>
      </c>
      <c r="C1772" t="inlineStr">
        <is>
          <t>54.0MB</t>
        </is>
      </c>
      <c r="D1772" t="inlineStr">
        <is>
          <t>/数学/四年级下册/西师大版/教材辅导/K12/学龄儿童家长</t>
        </is>
      </c>
      <c r="E1772" t="inlineStr">
        <is>
          <t>https://dcn8qexvg13r.feishu.cn/share/base/query/shrcnMqxwwRkV3NUIUxPeab3sec</t>
        </is>
      </c>
      <c r="F1772" t="inlineStr">
        <is>
          <t>请添加微信：k846211</t>
        </is>
      </c>
      <c r="G1772" t="inlineStr">
        <is>
          <t>2026-03-15</t>
        </is>
      </c>
    </row>
    <row r="1773" ht="25.5" customHeight="1">
      <c r="A1773" t="inlineStr">
        <is>
          <t>【数学】四下 西师大版</t>
        </is>
      </c>
      <c r="B1773" s="2" t="str">
        <f>=HYPERLINK("https://pan.quark.cn/s/adbcd61f4673", "https://pan.quark.cn/s/adbcd61f4673")</f>
        <v>https://pan.quark.cn/s/adbcd61f4673</v>
      </c>
      <c r="C1773" t="inlineStr">
        <is>
          <t>24.3MB</t>
        </is>
      </c>
      <c r="D1773" t="inlineStr">
        <is>
          <t>/数学/四年级下册/西师大版/K12/学龄儿童家长</t>
        </is>
      </c>
      <c r="E1773" t="inlineStr">
        <is>
          <t>https://dcn8qexvg13r.feishu.cn/share/base/query/shrcnMqxwwRkV3NUIUxPeab3sec</t>
        </is>
      </c>
      <c r="F1773" t="inlineStr">
        <is>
          <t>请添加微信：k846211</t>
        </is>
      </c>
      <c r="G1773" t="inlineStr">
        <is>
          <t>2026-03-15</t>
        </is>
      </c>
    </row>
    <row r="1774" ht="25.5" customHeight="1">
      <c r="A1774" t="inlineStr">
        <is>
          <t>【数学】 期末专项</t>
        </is>
      </c>
      <c r="B1774" s="2" t="str">
        <f>=HYPERLINK("https://pan.quark.cn/s/7c766bc26d9e", "https://pan.quark.cn/s/7c766bc26d9e")</f>
        <v>https://pan.quark.cn/s/7c766bc26d9e</v>
      </c>
      <c r="C1774" t="inlineStr">
        <is>
          <t>59.0MB</t>
        </is>
      </c>
      <c r="D1774" t="inlineStr">
        <is>
          <t>/数学/期末/专项/K12/学龄儿童家长</t>
        </is>
      </c>
      <c r="E1774" t="inlineStr">
        <is>
          <t>https://dcn8qexvg13r.feishu.cn/share/base/query/shrcnMqxwwRkV3NUIUxPeab3sec</t>
        </is>
      </c>
      <c r="F1774" t="inlineStr">
        <is>
          <t>请添加微信：k846211</t>
        </is>
      </c>
      <c r="G1774" t="inlineStr">
        <is>
          <t>2026-03-15</t>
        </is>
      </c>
    </row>
    <row r="1775" ht="25.5" customHeight="1">
      <c r="A1775" t="inlineStr">
        <is>
          <t>【数学】专题训练</t>
        </is>
      </c>
      <c r="B1775" s="2" t="str">
        <f>=HYPERLINK("https://pan.quark.cn/s/59f0ac9f3c11", "https://pan.quark.cn/s/59f0ac9f3c11")</f>
        <v>https://pan.quark.cn/s/59f0ac9f3c11</v>
      </c>
      <c r="C1775" t="inlineStr">
        <is>
          <t>135.2MB</t>
        </is>
      </c>
      <c r="D1775" t="inlineStr">
        <is>
          <t>/数学/专题训练/学习提升/K12/考研/考公/考证党</t>
        </is>
      </c>
      <c r="E1775" t="inlineStr">
        <is>
          <t>https://dcn8qexvg13r.feishu.cn/share/base/query/shrcnMqxwwRkV3NUIUxPeab3sec</t>
        </is>
      </c>
      <c r="F1775" t="inlineStr">
        <is>
          <t>请添加微信：k846211</t>
        </is>
      </c>
      <c r="G1775" t="inlineStr">
        <is>
          <t>2026-03-15</t>
        </is>
      </c>
    </row>
    <row r="1776" ht="25.5" customHeight="1">
      <c r="A1776" t="inlineStr">
        <is>
          <t>【数学】五下 各版本重点知识汇编（诵读）</t>
        </is>
      </c>
      <c r="B1776" s="2" t="str">
        <f>=HYPERLINK("https://pan.quark.cn/s/05406766fd86", "https://pan.quark.cn/s/05406766fd86")</f>
        <v>https://pan.quark.cn/s/05406766fd86</v>
      </c>
      <c r="C1776" t="inlineStr">
        <is>
          <t>19.3MB</t>
        </is>
      </c>
      <c r="D1776" t="inlineStr">
        <is>
          <t>/数学/五年级下册/重点知识/诵读/K12/学龄儿童家长</t>
        </is>
      </c>
      <c r="E1776" t="inlineStr">
        <is>
          <t>https://dcn8qexvg13r.feishu.cn/share/base/query/shrcnMqxwwRkV3NUIUxPeab3sec</t>
        </is>
      </c>
      <c r="F1776" t="inlineStr">
        <is>
          <t>请添加微信：k846211</t>
        </is>
      </c>
      <c r="G1776" t="inlineStr">
        <is>
          <t>2026-03-15</t>
        </is>
      </c>
    </row>
    <row r="1777" ht="25.5" customHeight="1">
      <c r="A1777" t="inlineStr">
        <is>
          <t>【数学】西师大</t>
        </is>
      </c>
      <c r="B1777" s="2" t="str">
        <f>=HYPERLINK("https://pan.quark.cn/s/1a472f87f650", "https://pan.quark.cn/s/1a472f87f650")</f>
        <v>https://pan.quark.cn/s/1a472f87f650</v>
      </c>
      <c r="C1777" t="inlineStr">
        <is>
          <t>31.2MB</t>
        </is>
      </c>
      <c r="D1777" t="inlineStr">
        <is>
          <t>/数学/西师大版/教材/K12/学龄儿童家长</t>
        </is>
      </c>
      <c r="E1777" t="inlineStr">
        <is>
          <t>https://dcn8qexvg13r.feishu.cn/share/base/query/shrcnMqxwwRkV3NUIUxPeab3sec</t>
        </is>
      </c>
      <c r="F1777" t="inlineStr">
        <is>
          <t>请添加微信：k846211</t>
        </is>
      </c>
      <c r="G1777" t="inlineStr">
        <is>
          <t>2026-03-15</t>
        </is>
      </c>
    </row>
    <row r="1778" ht="25.5" customHeight="1">
      <c r="A1778" t="inlineStr">
        <is>
          <t>【数学五下】专项练习</t>
        </is>
      </c>
      <c r="B1778" s="2" t="str">
        <f>=HYPERLINK("https://pan.quark.cn/s/547ec2a39d94", "https://pan.quark.cn/s/547ec2a39d94")</f>
        <v>https://pan.quark.cn/s/547ec2a39d94</v>
      </c>
      <c r="C1778" t="inlineStr">
        <is>
          <t>143.1MB</t>
        </is>
      </c>
      <c r="D1778" t="inlineStr">
        <is>
          <t>/数学/五年级下册/专项练习/练习/K12/学龄儿童家长</t>
        </is>
      </c>
      <c r="E1778" t="inlineStr">
        <is>
          <t>https://dcn8qexvg13r.feishu.cn/share/base/query/shrcnMqxwwRkV3NUIUxPeab3sec</t>
        </is>
      </c>
      <c r="F1778" t="inlineStr">
        <is>
          <t>请添加微信：k846211</t>
        </is>
      </c>
      <c r="G1778" t="inlineStr">
        <is>
          <t>2026-03-15</t>
        </is>
      </c>
    </row>
    <row r="1779" ht="25.5" customHeight="1">
      <c r="A1779" t="inlineStr">
        <is>
          <t>学霸寒假计算+思维大通关</t>
        </is>
      </c>
      <c r="B1779" s="2" t="str">
        <f>=HYPERLINK("https://pan.quark.cn/s/31cf385267ae", "https://pan.quark.cn/s/31cf385267ae")</f>
        <v>https://pan.quark.cn/s/31cf385267ae</v>
      </c>
      <c r="C1779" t="inlineStr">
        <is>
          <t>684.6MB</t>
        </is>
      </c>
      <c r="D1779" t="inlineStr">
        <is>
          <t>/寒假/计算/思维训练/练习册/K12/学龄儿童家长</t>
        </is>
      </c>
      <c r="E1779" t="inlineStr">
        <is>
          <t>https://dcn8qexvg13r.feishu.cn/share/base/query/shrcnMqxwwRkV3NUIUxPeab3sec</t>
        </is>
      </c>
      <c r="F1779" t="inlineStr">
        <is>
          <t>请添加微信：k846211</t>
        </is>
      </c>
      <c r="G1779" t="inlineStr">
        <is>
          <t>2026-03-15</t>
        </is>
      </c>
    </row>
    <row r="1780" ht="25.5" customHeight="1">
      <c r="A1780" t="inlineStr">
        <is>
          <t>《高考词汇背记手册》《高考词汇练字与背记》PDF</t>
        </is>
      </c>
      <c r="B1780" s="2" t="str">
        <f>=HYPERLINK("https://pan.quark.cn/s/b1c91d401aef", "https://pan.quark.cn/s/b1c91d401aef")</f>
        <v>https://pan.quark.cn/s/b1c91d401aef</v>
      </c>
      <c r="C1780" t="inlineStr">
        <is>
          <t>62.0MB</t>
        </is>
      </c>
      <c r="D1780" t="inlineStr">
        <is>
          <t>/高考词汇/词汇背记/练字/K12/</t>
        </is>
      </c>
      <c r="E1780" t="inlineStr">
        <is>
          <t>https://dcn8qexvg13r.feishu.cn/share/base/query/shrcnMqxwwRkV3NUIUxPeab3sec</t>
        </is>
      </c>
      <c r="F1780" t="inlineStr">
        <is>
          <t>请添加微信：k846211</t>
        </is>
      </c>
      <c r="G1780" t="inlineStr">
        <is>
          <t>2026-03-15</t>
        </is>
      </c>
    </row>
    <row r="1781" ht="25.5" customHeight="1">
      <c r="A1781" t="inlineStr">
        <is>
          <t>建筑方案施工图案例教程</t>
        </is>
      </c>
      <c r="B1781" s="2" t="str">
        <f>=HYPERLINK("https://pan.quark.cn/s/f36bbb1fd723", "https://pan.quark.cn/s/f36bbb1fd723")</f>
        <v>https://pan.quark.cn/s/f36bbb1fd723</v>
      </c>
      <c r="C1781" t="inlineStr">
        <is>
          <t>87.8GB</t>
        </is>
      </c>
      <c r="D1781" t="inlineStr">
        <is>
          <t>/建筑方案/施工图/案例教程/特定行业从业者/技能入门</t>
        </is>
      </c>
      <c r="E1781" t="inlineStr">
        <is>
          <t>https://dcn8qexvg13r.feishu.cn/share/base/query/shrcnMqxwwRkV3NUIUxPeab3sec</t>
        </is>
      </c>
      <c r="F1781" t="inlineStr">
        <is>
          <t>请添加微信：k846211</t>
        </is>
      </c>
      <c r="G1781" t="inlineStr">
        <is>
          <t>2026-03-15</t>
        </is>
      </c>
    </row>
    <row r="1782" ht="25.5" customHeight="1">
      <c r="A1782" t="inlineStr">
        <is>
          <t>零基础学国际象棋【完结】</t>
        </is>
      </c>
      <c r="B1782" s="2" t="str">
        <f>=HYPERLINK("https://pan.quark.cn/s/79eb4377339d", "https://pan.quark.cn/s/79eb4377339d")</f>
        <v>https://pan.quark.cn/s/79eb4377339d</v>
      </c>
      <c r="C1782" t="inlineStr">
        <is>
          <t>1.6GB</t>
        </is>
      </c>
      <c r="D1782" t="inlineStr">
        <is>
          <t>/国际象棋/零基础/技能入门/完结课程/技能入门/其他</t>
        </is>
      </c>
      <c r="E1782" t="inlineStr">
        <is>
          <t>https://dcn8qexvg13r.feishu.cn/share/base/query/shrcnMqxwwRkV3NUIUxPeab3sec</t>
        </is>
      </c>
      <c r="F1782" t="inlineStr">
        <is>
          <t>请添加微信：k846211</t>
        </is>
      </c>
      <c r="G1782" t="inlineStr">
        <is>
          <t>2026-03-15</t>
        </is>
      </c>
    </row>
    <row r="1783" ht="25.5" customHeight="1">
      <c r="A1783" t="inlineStr">
        <is>
          <t>一本涂书·高中英语新教材版</t>
        </is>
      </c>
      <c r="B1783" s="2" t="str">
        <f>=HYPERLINK("https://pan.quark.cn/s/065c9771e8fb", "https://pan.quark.cn/s/065c9771e8fb")</f>
        <v>https://pan.quark.cn/s/065c9771e8fb</v>
      </c>
      <c r="C1783" t="inlineStr">
        <is>
          <t>298.6MB</t>
        </is>
      </c>
      <c r="D1783" t="inlineStr">
        <is>
          <t>/高中英语/新教材/教辅书/涂书/K12/学龄儿童家长</t>
        </is>
      </c>
      <c r="E1783" t="inlineStr">
        <is>
          <t>https://dcn8qexvg13r.feishu.cn/share/base/query/shrcnMqxwwRkV3NUIUxPeab3sec</t>
        </is>
      </c>
      <c r="F1783" t="inlineStr">
        <is>
          <t>请添加微信：k846211</t>
        </is>
      </c>
      <c r="G1783" t="inlineStr">
        <is>
          <t>2026-03-15</t>
        </is>
      </c>
    </row>
    <row r="1784" ht="25.5" customHeight="1">
      <c r="A1784" t="inlineStr">
        <is>
          <t>陈康-全套训练课程--全套课程</t>
        </is>
      </c>
      <c r="B1784" s="2" t="str">
        <f>=HYPERLINK("https://pan.quark.cn/s/a7eb61f9f325", "https://pan.quark.cn/s/a7eb61f9f325")</f>
        <v>https://pan.quark.cn/s/a7eb61f9f325</v>
      </c>
      <c r="C1784" t="inlineStr">
        <is>
          <t>27.0GB</t>
        </is>
      </c>
      <c r="D1784" t="inlineStr">
        <is>
          <t>/陈康/训练课程/全套课程/技能入门/其他</t>
        </is>
      </c>
      <c r="E1784" t="inlineStr">
        <is>
          <t>https://dcn8qexvg13r.feishu.cn/share/base/query/shrcnMqxwwRkV3NUIUxPeab3sec</t>
        </is>
      </c>
      <c r="F1784" t="inlineStr">
        <is>
          <t>请添加微信：k846211</t>
        </is>
      </c>
      <c r="G1784" t="inlineStr">
        <is>
          <t>2026-03-15</t>
        </is>
      </c>
    </row>
    <row r="1785" ht="25.5" customHeight="1">
      <c r="A1785" t="inlineStr">
        <is>
          <t>【全球热门听力节目~】BBC 6 Minute English（2021-2025大合集）</t>
        </is>
      </c>
      <c r="B1785" s="2" t="str">
        <f>=HYPERLINK("https://pan.quark.cn/s/937b2bd85496", "https://pan.quark.cn/s/937b2bd85496")</f>
        <v>https://pan.quark.cn/s/937b2bd85496</v>
      </c>
      <c r="C1785" t="inlineStr">
        <is>
          <t>3.4GB</t>
        </is>
      </c>
      <c r="D1785" t="inlineStr">
        <is>
          <t>/BBC/6 Minute English/英语听力/全球热门/语言/大学生</t>
        </is>
      </c>
      <c r="E1785" t="inlineStr">
        <is>
          <t>https://dcn8qexvg13r.feishu.cn/share/base/query/shrcnMqxwwRkV3NUIUxPeab3sec</t>
        </is>
      </c>
      <c r="F1785" t="inlineStr">
        <is>
          <t>请添加微信：k846211</t>
        </is>
      </c>
      <c r="G1785" t="inlineStr">
        <is>
          <t>2026-03-15</t>
        </is>
      </c>
    </row>
    <row r="1786" ht="25.5" customHeight="1">
      <c r="A1786" t="inlineStr">
        <is>
          <t>Tableau零基础教程，带你解锁当下最受欢迎的数据可视化软件</t>
        </is>
      </c>
      <c r="B1786" s="2" t="str">
        <f>=HYPERLINK("https://pan.quark.cn/s/47a81d00c719", "https://pan.quark.cn/s/47a81d00c719")</f>
        <v>https://pan.quark.cn/s/47a81d00c719</v>
      </c>
      <c r="C1786" t="inlineStr">
        <is>
          <t>1.4GB</t>
        </is>
      </c>
      <c r="D1786" t="inlineStr">
        <is>
          <t>/Tableau/数据可视化/零基础/教程/白领/技能入门</t>
        </is>
      </c>
      <c r="E1786" t="inlineStr">
        <is>
          <t>https://dcn8qexvg13r.feishu.cn/share/base/query/shrcnMqxwwRkV3NUIUxPeab3sec</t>
        </is>
      </c>
      <c r="F1786" t="inlineStr">
        <is>
          <t>请添加微信：k846211</t>
        </is>
      </c>
      <c r="G1786" t="inlineStr">
        <is>
          <t>2026-03-15</t>
        </is>
      </c>
    </row>
    <row r="1787" ht="25.5" customHeight="1">
      <c r="A1787" t="inlineStr">
        <is>
          <t>人大毛立平教授：纵观清史二十讲（完结）(1)</t>
        </is>
      </c>
      <c r="B1787" s="2" t="str">
        <f>=HYPERLINK("https://pan.quark.cn/s/1af476604c7e", "https://pan.quark.cn/s/1af476604c7e")</f>
        <v>https://pan.quark.cn/s/1af476604c7e</v>
      </c>
      <c r="C1787" t="inlineStr">
        <is>
          <t>4.2GB</t>
        </is>
      </c>
      <c r="D1787" t="inlineStr">
        <is>
          <t>/清史/历史研究/毛立平/教授课程/大学生/考研/考公/考证党</t>
        </is>
      </c>
      <c r="E1787" t="inlineStr">
        <is>
          <t>https://dcn8qexvg13r.feishu.cn/share/base/query/shrcnMqxwwRkV3NUIUxPeab3sec</t>
        </is>
      </c>
      <c r="F1787" t="inlineStr">
        <is>
          <t>请添加微信：k846211</t>
        </is>
      </c>
      <c r="G1787" t="inlineStr">
        <is>
          <t>2026-03-15</t>
        </is>
      </c>
    </row>
    <row r="1788" ht="25.5" customHeight="1">
      <c r="A1788" t="inlineStr">
        <is>
          <t>人人都能学的数据分析</t>
        </is>
      </c>
      <c r="B1788" s="2" t="str">
        <f>=HYPERLINK("https://pan.quark.cn/s/5db425221bf1", "https://pan.quark.cn/s/5db425221bf1")</f>
        <v>https://pan.quark.cn/s/5db425221bf1</v>
      </c>
      <c r="C1788" t="inlineStr">
        <is>
          <t>8.5GB</t>
        </is>
      </c>
      <c r="D1788" t="inlineStr">
        <is>
          <t>/数据分析/技能入门/学习教程/大学生/白领</t>
        </is>
      </c>
      <c r="E1788" t="inlineStr">
        <is>
          <t>https://dcn8qexvg13r.feishu.cn/share/base/query/shrcnMqxwwRkV3NUIUxPeab3sec</t>
        </is>
      </c>
      <c r="F1788" t="inlineStr">
        <is>
          <t>请添加微信：k846211</t>
        </is>
      </c>
      <c r="G1788" t="inlineStr">
        <is>
          <t>2026-03-15</t>
        </is>
      </c>
    </row>
    <row r="1789" ht="25.5" customHeight="1">
      <c r="A1789" t="inlineStr">
        <is>
          <t>本源校身训练课程合集</t>
        </is>
      </c>
      <c r="B1789" s="2" t="str">
        <f>=HYPERLINK("https://pan.quark.cn/s/3af6c65f45a4", "https://pan.quark.cn/s/3af6c65f45a4")</f>
        <v>https://pan.quark.cn/s/3af6c65f45a4</v>
      </c>
      <c r="C1789" t="inlineStr">
        <is>
          <t>69.4GB</t>
        </is>
      </c>
      <c r="D1789" t="inlineStr">
        <is>
          <t>/校身训练/课程/身体矫正/白领/技能入门</t>
        </is>
      </c>
      <c r="E1789" t="inlineStr">
        <is>
          <t>https://dcn8qexvg13r.feishu.cn/share/base/query/shrcnMqxwwRkV3NUIUxPeab3sec</t>
        </is>
      </c>
      <c r="F1789" t="inlineStr">
        <is>
          <t>请添加微信：k846211</t>
        </is>
      </c>
      <c r="G1789" t="inlineStr">
        <is>
          <t>2026-03-15</t>
        </is>
      </c>
    </row>
    <row r="1790" ht="25.5" customHeight="1">
      <c r="A1790" t="inlineStr">
        <is>
          <t>【高情商沟通】有效管理沟通成果与人际关系  21集全 某音199</t>
        </is>
      </c>
      <c r="B1790" s="2" t="str">
        <f>=HYPERLINK("https://pan.quark.cn/s/6a7a4503fc59", "https://pan.quark.cn/s/6a7a4503fc59")</f>
        <v>https://pan.quark.cn/s/6a7a4503fc59</v>
      </c>
      <c r="C1790" t="inlineStr">
        <is>
          <t>2.2GB</t>
        </is>
      </c>
      <c r="D1790" t="inlineStr">
        <is>
          <t>/高情商沟通/沟通成果管理/人际关系/视频课程/白领/管理者</t>
        </is>
      </c>
      <c r="E1790" t="inlineStr">
        <is>
          <t>https://dcn8qexvg13r.feishu.cn/share/base/query/shrcnMqxwwRkV3NUIUxPeab3sec</t>
        </is>
      </c>
      <c r="F1790" t="inlineStr">
        <is>
          <t>请添加微信：k846211</t>
        </is>
      </c>
      <c r="G1790" t="inlineStr">
        <is>
          <t>2026-03-15</t>
        </is>
      </c>
    </row>
    <row r="1791" ht="25.5" customHeight="1">
      <c r="A1791" t="inlineStr">
        <is>
          <t>1121牛津树学校版</t>
        </is>
      </c>
      <c r="B1791" s="2" t="str">
        <f>=HYPERLINK("https://pan.quark.cn/s/4c0f10ac7a71", "https://pan.quark.cn/s/4c0f10ac7a71")</f>
        <v>https://pan.quark.cn/s/4c0f10ac7a71</v>
      </c>
      <c r="C1791" t="inlineStr">
        <is>
          <t>7.8GB</t>
        </is>
      </c>
      <c r="D1791" t="inlineStr">
        <is>
          <t>/牛津树/英语学习/分级阅读/学校版/K12/学龄儿童家长</t>
        </is>
      </c>
      <c r="E1791" t="inlineStr">
        <is>
          <t>https://dcn8qexvg13r.feishu.cn/share/base/query/shrcnMqxwwRkV3NUIUxPeab3sec</t>
        </is>
      </c>
      <c r="F1791" t="inlineStr">
        <is>
          <t>请添加微信：k846211</t>
        </is>
      </c>
      <c r="G1791" t="inlineStr">
        <is>
          <t>2026-03-15</t>
        </is>
      </c>
    </row>
    <row r="1792" ht="25.5" customHeight="1">
      <c r="A1792" t="inlineStr">
        <is>
          <t>从运维菜鸟到大咖，你还有多远II：企业数据中心建设及管理 (程小丹) (1).pdf</t>
        </is>
      </c>
      <c r="B1792" s="2" t="str">
        <f>=HYPERLINK("https://pan.quark.cn/s/1f72ec01f3a1", "https://pan.quark.cn/s/1f72ec01f3a1")</f>
        <v>https://pan.quark.cn/s/1f72ec01f3a1</v>
      </c>
      <c r="C1792" t="inlineStr">
        <is>
          <t>70.3MB</t>
        </is>
      </c>
      <c r="D1792" t="inlineStr">
        <is>
          <t>/运维/数据中心建设/数据中心管理/技能提升/特定行业从业者/白领</t>
        </is>
      </c>
      <c r="E1792" t="inlineStr">
        <is>
          <t>https://dcn8qexvg13r.feishu.cn/share/base/query/shrcnMqxwwRkV3NUIUxPeab3sec</t>
        </is>
      </c>
      <c r="F1792" t="inlineStr">
        <is>
          <t>请添加微信：k846211</t>
        </is>
      </c>
      <c r="G1792" t="inlineStr">
        <is>
          <t>2026-03-15</t>
        </is>
      </c>
    </row>
    <row r="1793" ht="25.5" customHeight="1">
      <c r="A1793" t="inlineStr">
        <is>
          <t>英语《亮点给力大试卷》译林 26春</t>
        </is>
      </c>
      <c r="B1793" s="2" t="str">
        <f>=HYPERLINK("https://pan.quark.cn/s/e123d4726f2c", "https://pan.quark.cn/s/e123d4726f2c")</f>
        <v>https://pan.quark.cn/s/e123d4726f2c</v>
      </c>
      <c r="C1793" t="inlineStr">
        <is>
          <t>623.2MB</t>
        </is>
      </c>
      <c r="D1793" t="inlineStr">
        <is>
          <t>/英语/译林版/试卷/亮点给力/K12/学龄儿童家长</t>
        </is>
      </c>
      <c r="E1793" t="inlineStr">
        <is>
          <t>https://dcn8qexvg13r.feishu.cn/share/base/query/shrcnMqxwwRkV3NUIUxPeab3sec</t>
        </is>
      </c>
      <c r="F1793" t="inlineStr">
        <is>
          <t>请添加微信：k846211</t>
        </is>
      </c>
      <c r="G1793" t="inlineStr">
        <is>
          <t>2026-03-15</t>
        </is>
      </c>
    </row>
    <row r="1794" ht="25.5" customHeight="1">
      <c r="A1794" t="inlineStr">
        <is>
          <t>数学《亮点给力大试卷》人教 26春</t>
        </is>
      </c>
      <c r="B1794" s="2" t="str">
        <f>=HYPERLINK("https://pan.quark.cn/s/4c95ecff1f27", "https://pan.quark.cn/s/4c95ecff1f27")</f>
        <v>https://pan.quark.cn/s/4c95ecff1f27</v>
      </c>
      <c r="C1794" t="inlineStr">
        <is>
          <t>1.2GB</t>
        </is>
      </c>
      <c r="D1794" t="inlineStr">
        <is>
          <t>/数学/试卷/人教/K12/学龄儿童家长</t>
        </is>
      </c>
      <c r="E1794" t="inlineStr">
        <is>
          <t>https://dcn8qexvg13r.feishu.cn/share/base/query/shrcnMqxwwRkV3NUIUxPeab3sec</t>
        </is>
      </c>
      <c r="F1794" t="inlineStr">
        <is>
          <t>请添加微信：k846211</t>
        </is>
      </c>
      <c r="G1794" t="inlineStr">
        <is>
          <t>2026-03-15</t>
        </is>
      </c>
    </row>
    <row r="1795" ht="25.5" customHeight="1">
      <c r="A1795" t="inlineStr">
        <is>
          <t>数学《亮点给力大试卷》苏教 26春(1)</t>
        </is>
      </c>
      <c r="B1795" s="2" t="str">
        <f>=HYPERLINK("https://pan.quark.cn/s/29cc3307d970", "https://pan.quark.cn/s/29cc3307d970")</f>
        <v>https://pan.quark.cn/s/29cc3307d970</v>
      </c>
      <c r="C1795" t="inlineStr">
        <is>
          <t>1.5GB</t>
        </is>
      </c>
      <c r="D1795" t="inlineStr">
        <is>
          <t>/数学/苏教版/试卷/亮点给力/K12/学龄儿童家长</t>
        </is>
      </c>
      <c r="E1795" t="inlineStr">
        <is>
          <t>https://dcn8qexvg13r.feishu.cn/share/base/query/shrcnMqxwwRkV3NUIUxPeab3sec</t>
        </is>
      </c>
      <c r="F1795" t="inlineStr">
        <is>
          <t>请添加微信：k846211</t>
        </is>
      </c>
      <c r="G1795" t="inlineStr">
        <is>
          <t>2026-03-15</t>
        </is>
      </c>
    </row>
    <row r="1796" ht="25.5" customHeight="1">
      <c r="A1796" t="inlineStr">
        <is>
          <t>语文《亮点给力大试卷》26春(1)</t>
        </is>
      </c>
      <c r="B1796" s="2" t="str">
        <f>=HYPERLINK("https://pan.quark.cn/s/c00b31c97255", "https://pan.quark.cn/s/c00b31c97255")</f>
        <v>https://pan.quark.cn/s/c00b31c97255</v>
      </c>
      <c r="C1796" t="inlineStr">
        <is>
          <t>969.2MB</t>
        </is>
      </c>
      <c r="D1796" t="inlineStr">
        <is>
          <t>/语文/试卷/同步练习/K12/学龄儿童家长</t>
        </is>
      </c>
      <c r="E1796" t="inlineStr">
        <is>
          <t>https://dcn8qexvg13r.feishu.cn/share/base/query/shrcnMqxwwRkV3NUIUxPeab3sec</t>
        </is>
      </c>
      <c r="F1796" t="inlineStr">
        <is>
          <t>请添加微信：k846211</t>
        </is>
      </c>
      <c r="G1796" t="inlineStr">
        <is>
          <t>2026-03-15</t>
        </is>
      </c>
    </row>
    <row r="1797" ht="25.5" customHeight="1">
      <c r="A1797" t="inlineStr">
        <is>
          <t>25春语文下册《生字词语默写》</t>
        </is>
      </c>
      <c r="B1797" s="2" t="str">
        <f>=HYPERLINK("https://pan.quark.cn/s/df435ccca96b", "https://pan.quark.cn/s/df435ccca96b")</f>
        <v>https://pan.quark.cn/s/df435ccca96b</v>
      </c>
      <c r="C1797" t="inlineStr">
        <is>
          <t>109.5MB</t>
        </is>
      </c>
      <c r="D1797" t="inlineStr">
        <is>
          <t>/语文/生字词语/默写练习/25春下册/学龄儿童家长/K12</t>
        </is>
      </c>
      <c r="E1797" t="inlineStr">
        <is>
          <t>https://dcn8qexvg13r.feishu.cn/share/base/query/shrcnMqxwwRkV3NUIUxPeab3sec</t>
        </is>
      </c>
      <c r="F1797" t="inlineStr">
        <is>
          <t>请添加微信：k846211</t>
        </is>
      </c>
      <c r="G1797" t="inlineStr">
        <is>
          <t>2026-03-15</t>
        </is>
      </c>
    </row>
    <row r="1798" ht="25.5" customHeight="1">
      <c r="A1798" t="inlineStr">
        <is>
          <t>1-6年级语文下册人教版26春《默写能手》</t>
        </is>
      </c>
      <c r="B1798" s="2" t="str">
        <f>=HYPERLINK("https://pan.quark.cn/s/6579971c0f02", "https://pan.quark.cn/s/6579971c0f02")</f>
        <v>https://pan.quark.cn/s/6579971c0f02</v>
      </c>
      <c r="C1798" t="inlineStr">
        <is>
          <t>295.4MB</t>
        </is>
      </c>
      <c r="D1798" t="inlineStr">
        <is>
          <t>/语文/默写/人教版/小学/学龄儿童家长/K12</t>
        </is>
      </c>
      <c r="E1798" t="inlineStr">
        <is>
          <t>https://dcn8qexvg13r.feishu.cn/share/base/query/shrcnMqxwwRkV3NUIUxPeab3sec</t>
        </is>
      </c>
      <c r="F1798" t="inlineStr">
        <is>
          <t>请添加微信：k846211</t>
        </is>
      </c>
      <c r="G1798" t="inlineStr">
        <is>
          <t>2026-03-15</t>
        </is>
      </c>
    </row>
    <row r="1799" ht="25.5" customHeight="1">
      <c r="A1799" t="inlineStr">
        <is>
          <t>1-6年级语文下册《阅读理解常考题型每日一练》</t>
        </is>
      </c>
      <c r="B1799" s="2" t="str">
        <f>=HYPERLINK("https://pan.quark.cn/s/b51dd61a79ca", "https://pan.quark.cn/s/b51dd61a79ca")</f>
        <v>https://pan.quark.cn/s/b51dd61a79ca</v>
      </c>
      <c r="C1799" t="inlineStr">
        <is>
          <t>14.5MB</t>
        </is>
      </c>
      <c r="D1799" t="inlineStr">
        <is>
          <t>/语文/阅读理解/常考题型/每日一练/K12/学龄儿童家长</t>
        </is>
      </c>
      <c r="E1799" t="inlineStr">
        <is>
          <t>https://dcn8qexvg13r.feishu.cn/share/base/query/shrcnMqxwwRkV3NUIUxPeab3sec</t>
        </is>
      </c>
      <c r="F1799" t="inlineStr">
        <is>
          <t>请添加微信：k846211</t>
        </is>
      </c>
      <c r="G1799" t="inlineStr">
        <is>
          <t>2026-03-15</t>
        </is>
      </c>
    </row>
    <row r="1800" ht="25.5" customHeight="1">
      <c r="A1800" t="inlineStr">
        <is>
          <t>26春星级口算天天练数学人教版1-6年级下册</t>
        </is>
      </c>
      <c r="B1800" s="2" t="str">
        <f>=HYPERLINK("https://pan.quark.cn/s/70da0a5e6b05", "https://pan.quark.cn/s/70da0a5e6b05")</f>
        <v>https://pan.quark.cn/s/70da0a5e6b05</v>
      </c>
      <c r="C1800" t="inlineStr">
        <is>
          <t>121.8MB</t>
        </is>
      </c>
      <c r="D1800" t="inlineStr">
        <is>
          <t>/星级口算/数学人教版/1-6年级下册/口算练习/K12/学龄儿童家长</t>
        </is>
      </c>
      <c r="E1800" t="inlineStr">
        <is>
          <t>https://dcn8qexvg13r.feishu.cn/share/base/query/shrcnMqxwwRkV3NUIUxPeab3sec</t>
        </is>
      </c>
      <c r="F1800" t="inlineStr">
        <is>
          <t>请添加微信：k846211</t>
        </is>
      </c>
      <c r="G1800" t="inlineStr">
        <is>
          <t>2026-03-15</t>
        </is>
      </c>
    </row>
    <row r="1801" ht="25.5" customHeight="1">
      <c r="A1801" t="inlineStr">
        <is>
          <t>1-6年级数学下册《精选100题》25春</t>
        </is>
      </c>
      <c r="B1801" s="2" t="str">
        <f>=HYPERLINK("https://pan.quark.cn/s/e1a64446ab9f", "https://pan.quark.cn/s/e1a64446ab9f")</f>
        <v>https://pan.quark.cn/s/e1a64446ab9f</v>
      </c>
      <c r="C1801" t="inlineStr">
        <is>
          <t>11.3MB</t>
        </is>
      </c>
      <c r="D1801" t="inlineStr">
        <is>
          <t>/小学数学/1-6年级/下册/精选100题/K12/学龄儿童家长</t>
        </is>
      </c>
      <c r="E1801" t="inlineStr">
        <is>
          <t>https://dcn8qexvg13r.feishu.cn/share/base/query/shrcnMqxwwRkV3NUIUxPeab3sec</t>
        </is>
      </c>
      <c r="F1801" t="inlineStr">
        <is>
          <t>请添加微信：k846211</t>
        </is>
      </c>
      <c r="G1801" t="inlineStr">
        <is>
          <t>2026-03-15</t>
        </is>
      </c>
    </row>
    <row r="1802" ht="25.5" customHeight="1">
      <c r="A1802" t="inlineStr">
        <is>
          <t>26春《实验班提优大考卷》英语RP 3-6下</t>
        </is>
      </c>
      <c r="B1802" s="2" t="str">
        <f>=HYPERLINK("https://pan.quark.cn/s/ca2928a7ab1b", "https://pan.quark.cn/s/ca2928a7ab1b")</f>
        <v>https://pan.quark.cn/s/ca2928a7ab1b</v>
      </c>
      <c r="C1802" t="inlineStr">
        <is>
          <t>522.6MB</t>
        </is>
      </c>
      <c r="D1802" t="inlineStr">
        <is>
          <t>英语/三年级下册/四年级下册/五年级下册/六年级下册/提优考卷/K12/学龄儿童家长</t>
        </is>
      </c>
      <c r="E1802" t="inlineStr">
        <is>
          <t>https://dcn8qexvg13r.feishu.cn/share/base/query/shrcnMqxwwRkV3NUIUxPeab3sec</t>
        </is>
      </c>
      <c r="F1802" t="inlineStr">
        <is>
          <t>请添加微信：k846211</t>
        </is>
      </c>
      <c r="G1802" t="inlineStr">
        <is>
          <t>2026-03-15</t>
        </is>
      </c>
    </row>
    <row r="1803" ht="25.5" customHeight="1">
      <c r="A1803" t="inlineStr">
        <is>
          <t>教你成为社交应酬的高手</t>
        </is>
      </c>
      <c r="B1803" s="2" t="str">
        <f>=HYPERLINK("https://pan.quark.cn/s/d550261b3c0a", "https://pan.quark.cn/s/d550261b3c0a")</f>
        <v>https://pan.quark.cn/s/d550261b3c0a</v>
      </c>
      <c r="C1803" t="inlineStr">
        <is>
          <t>624.5MB</t>
        </is>
      </c>
      <c r="D1803" t="inlineStr">
        <is>
          <t>/社交应酬/技能提升/沟通技巧/人际交往/白领/管理者</t>
        </is>
      </c>
      <c r="E1803" t="inlineStr">
        <is>
          <t>https://dcn8qexvg13r.feishu.cn/share/base/query/shrcnMqxwwRkV3NUIUxPeab3sec</t>
        </is>
      </c>
      <c r="F1803" t="inlineStr">
        <is>
          <t>请添加微信：k846211</t>
        </is>
      </c>
      <c r="G1803" t="inlineStr">
        <is>
          <t>2026-03-15</t>
        </is>
      </c>
    </row>
    <row r="1804" ht="25.5" customHeight="1">
      <c r="A1804" t="inlineStr">
        <is>
          <t>精准表达30讲：能成事儿表达</t>
        </is>
      </c>
      <c r="B1804" s="2" t="str">
        <f>=HYPERLINK("https://pan.quark.cn/s/4a023abe6120", "https://pan.quark.cn/s/4a023abe6120")</f>
        <v>https://pan.quark.cn/s/4a023abe6120</v>
      </c>
      <c r="C1804" t="inlineStr">
        <is>
          <t>3.3GB</t>
        </is>
      </c>
      <c r="D1804" t="inlineStr">
        <is>
          <t>/精准表达/表达技巧/沟通提升/职场技能/白领/管理者</t>
        </is>
      </c>
      <c r="E1804" t="inlineStr">
        <is>
          <t>https://dcn8qexvg13r.feishu.cn/share/base/query/shrcnMqxwwRkV3NUIUxPeab3sec</t>
        </is>
      </c>
      <c r="F1804" t="inlineStr">
        <is>
          <t>请添加微信：k846211</t>
        </is>
      </c>
      <c r="G1804" t="inlineStr">
        <is>
          <t>2026-03-15</t>
        </is>
      </c>
    </row>
    <row r="1805" ht="25.5" customHeight="1">
      <c r="A1805" t="inlineStr">
        <is>
          <t>看四大名著学情商</t>
        </is>
      </c>
      <c r="B1805" s="2" t="str">
        <f>=HYPERLINK("https://pan.quark.cn/s/b3f8c9112b38", "https://pan.quark.cn/s/b3f8c9112b38")</f>
        <v>https://pan.quark.cn/s/b3f8c9112b38</v>
      </c>
      <c r="C1805" t="inlineStr">
        <is>
          <t>1.2GB</t>
        </is>
      </c>
      <c r="D1805" t="inlineStr">
        <is>
          <t>/四大名著/情商/文学/职场/白领/管理者</t>
        </is>
      </c>
      <c r="E1805" t="inlineStr">
        <is>
          <t>https://dcn8qexvg13r.feishu.cn/share/base/query/shrcnMqxwwRkV3NUIUxPeab3sec</t>
        </is>
      </c>
      <c r="F1805" t="inlineStr">
        <is>
          <t>请添加微信：k846211</t>
        </is>
      </c>
      <c r="G1805" t="inlineStr">
        <is>
          <t>2026-03-15</t>
        </is>
      </c>
    </row>
    <row r="1806" ht="25.5" customHeight="1">
      <c r="A1806" t="inlineStr">
        <is>
          <t>快速精通饭局酒局视频课程</t>
        </is>
      </c>
      <c r="B1806" s="2" t="str">
        <f>=HYPERLINK("https://pan.quark.cn/s/1fcb3c803dec", "https://pan.quark.cn/s/1fcb3c803dec")</f>
        <v>https://pan.quark.cn/s/1fcb3c803dec</v>
      </c>
      <c r="C1806" t="inlineStr">
        <is>
          <t>1.5GB</t>
        </is>
      </c>
      <c r="D1806" t="inlineStr">
        <is>
          <t>/饭局/酒局/视频课程/社交技巧/白领/管理者</t>
        </is>
      </c>
      <c r="E1806" t="inlineStr">
        <is>
          <t>https://dcn8qexvg13r.feishu.cn/share/base/query/shrcnMqxwwRkV3NUIUxPeab3sec</t>
        </is>
      </c>
      <c r="F1806" t="inlineStr">
        <is>
          <t>请添加微信：k846211</t>
        </is>
      </c>
      <c r="G1806" t="inlineStr">
        <is>
          <t>2026-03-15</t>
        </is>
      </c>
    </row>
    <row r="1807" ht="25.5" customHeight="1">
      <c r="A1807" t="inlineStr">
        <is>
          <t>聊天之道（大師版）</t>
        </is>
      </c>
      <c r="B1807" s="2" t="str">
        <f>=HYPERLINK("https://pan.quark.cn/s/6d5b8d0d2de7", "https://pan.quark.cn/s/6d5b8d0d2de7")</f>
        <v>https://pan.quark.cn/s/6d5b8d0d2de7</v>
      </c>
      <c r="C1807" t="inlineStr">
        <is>
          <t>3.4GB</t>
        </is>
      </c>
      <c r="D1807" t="inlineStr">
        <is>
          <t>/聊天/社交技巧/大师经验/白领/管理者</t>
        </is>
      </c>
      <c r="E1807" t="inlineStr">
        <is>
          <t>https://dcn8qexvg13r.feishu.cn/share/base/query/shrcnMqxwwRkV3NUIUxPeab3sec</t>
        </is>
      </c>
      <c r="F1807" t="inlineStr">
        <is>
          <t>请添加微信：k846211</t>
        </is>
      </c>
      <c r="G1807" t="inlineStr">
        <is>
          <t>2026-03-15</t>
        </is>
      </c>
    </row>
    <row r="1808" ht="25.5" customHeight="1">
      <c r="A1808" t="inlineStr">
        <is>
          <t>老吴高级情商私教课</t>
        </is>
      </c>
      <c r="B1808" s="2" t="str">
        <f>=HYPERLINK("https://pan.quark.cn/s/17655666463b", "https://pan.quark.cn/s/17655666463b")</f>
        <v>https://pan.quark.cn/s/17655666463b</v>
      </c>
      <c r="C1808" t="inlineStr">
        <is>
          <t>29.2GB</t>
        </is>
      </c>
      <c r="D1808" t="inlineStr">
        <is>
          <t>/情商/私教课/高级/白领/管理者</t>
        </is>
      </c>
      <c r="E1808" t="inlineStr">
        <is>
          <t>https://dcn8qexvg13r.feishu.cn/share/base/query/shrcnMqxwwRkV3NUIUxPeab3sec</t>
        </is>
      </c>
      <c r="F1808" t="inlineStr">
        <is>
          <t>请添加微信：k846211</t>
        </is>
      </c>
      <c r="G1808" t="inlineStr">
        <is>
          <t>2026-03-15</t>
        </is>
      </c>
    </row>
    <row r="1809" ht="25.5" customHeight="1">
      <c r="A1809" t="inlineStr">
        <is>
          <t>复旦名师团的经济学课</t>
        </is>
      </c>
      <c r="B1809" s="2" t="str">
        <f>=HYPERLINK("https://pan.quark.cn/s/490290b9c641", "https://pan.quark.cn/s/490290b9c641")</f>
        <v>https://pan.quark.cn/s/490290b9c641</v>
      </c>
      <c r="C1809" t="inlineStr">
        <is>
          <t>773.7MB</t>
        </is>
      </c>
      <c r="D1809" t="inlineStr">
        <is>
          <t>/经济学/课程/复旦名师/大学生/考研/考公/考证党</t>
        </is>
      </c>
      <c r="E1809" t="inlineStr">
        <is>
          <t>https://dcn8qexvg13r.feishu.cn/share/base/query/shrcnMqxwwRkV3NUIUxPeab3sec</t>
        </is>
      </c>
      <c r="F1809" t="inlineStr">
        <is>
          <t>请添加微信：k846211</t>
        </is>
      </c>
      <c r="G1809" t="inlineStr">
        <is>
          <t>2026-03-15</t>
        </is>
      </c>
    </row>
    <row r="1810" ht="25.5" customHeight="1">
      <c r="A1810" t="inlineStr">
        <is>
          <t>95.黄金时代的摄影50讲：如何理解大师之作（完结）</t>
        </is>
      </c>
      <c r="B1810" s="2" t="str">
        <f>=HYPERLINK("https://pan.quark.cn/s/7ac5da9f875e", "https://pan.quark.cn/s/7ac5da9f875e")</f>
        <v>https://pan.quark.cn/s/7ac5da9f875e</v>
      </c>
      <c r="C1810" t="inlineStr">
        <is>
          <t>7.8GB</t>
        </is>
      </c>
      <c r="D1810" t="inlineStr">
        <is>
          <t>/摄影/大师作品/黄金时代/课程/特定行业从业者/技能入门</t>
        </is>
      </c>
      <c r="E1810" t="inlineStr">
        <is>
          <t>https://dcn8qexvg13r.feishu.cn/share/base/query/shrcnMqxwwRkV3NUIUxPeab3sec</t>
        </is>
      </c>
      <c r="F1810" t="inlineStr">
        <is>
          <t>请添加微信：k846211</t>
        </is>
      </c>
      <c r="G1810" t="inlineStr">
        <is>
          <t>2026-03-15</t>
        </is>
      </c>
    </row>
    <row r="1811" ht="25.5" customHeight="1">
      <c r="A1811" t="inlineStr">
        <is>
          <t>美女摆姿拍照摄影教程</t>
        </is>
      </c>
      <c r="B1811" s="2" t="str">
        <f>=HYPERLINK("https://pan.quark.cn/s/4a55b5b9fe86", "https://pan.quark.cn/s/4a55b5b9fe86")</f>
        <v>https://pan.quark.cn/s/4a55b5b9fe86</v>
      </c>
      <c r="C1811" t="inlineStr">
        <is>
          <t>3.7GB</t>
        </is>
      </c>
      <c r="D1811" t="inlineStr">
        <is>
          <t>/美女摆姿/拍照/摄影教程/技能入门/白领/其他</t>
        </is>
      </c>
      <c r="E1811" t="inlineStr">
        <is>
          <t>https://dcn8qexvg13r.feishu.cn/share/base/query/shrcnMqxwwRkV3NUIUxPeab3sec</t>
        </is>
      </c>
      <c r="F1811" t="inlineStr">
        <is>
          <t>请添加微信：k846211</t>
        </is>
      </c>
      <c r="G1811" t="inlineStr">
        <is>
          <t>2026-03-15</t>
        </is>
      </c>
    </row>
    <row r="1812" ht="25.5" customHeight="1">
      <c r="A1812" t="inlineStr">
        <is>
          <t>女性不同场合穿搭教程合集（点进去分开存）</t>
        </is>
      </c>
      <c r="B1812" s="2" t="str">
        <f>=HYPERLINK("https://pan.quark.cn/s/047f99eeadce", "https://pan.quark.cn/s/047f99eeadce")</f>
        <v>https://pan.quark.cn/s/047f99eeadce</v>
      </c>
      <c r="C1812" t="inlineStr">
        <is>
          <t>19.4GB</t>
        </is>
      </c>
      <c r="D1812" t="inlineStr">
        <is>
          <t>/女性穿搭/穿搭教程/场合穿搭/白领/其他</t>
        </is>
      </c>
      <c r="E1812" t="inlineStr">
        <is>
          <t>https://dcn8qexvg13r.feishu.cn/share/base/query/shrcnMqxwwRkV3NUIUxPeab3sec</t>
        </is>
      </c>
      <c r="F1812" t="inlineStr">
        <is>
          <t>请添加微信：k846211</t>
        </is>
      </c>
      <c r="G1812" t="inlineStr">
        <is>
          <t>2026-03-15</t>
        </is>
      </c>
    </row>
    <row r="1813" ht="25.5" customHeight="1">
      <c r="A1813" t="inlineStr">
        <is>
          <t>S 手机摄影·达人速成·实战篇【视频教程】</t>
        </is>
      </c>
      <c r="B1813" s="2" t="str">
        <f>=HYPERLINK("https://pan.quark.cn/s/1c78e9e6ccd6", "https://pan.quark.cn/s/1c78e9e6ccd6")</f>
        <v>https://pan.quark.cn/s/1c78e9e6ccd6</v>
      </c>
      <c r="C1813" t="inlineStr">
        <is>
          <t>6.0GB</t>
        </is>
      </c>
      <c r="D1813" t="inlineStr">
        <is>
          <t>/手机摄影/视频教程/达人速成/实战技巧/白领/技能入门</t>
        </is>
      </c>
      <c r="E1813" t="inlineStr">
        <is>
          <t>https://dcn8qexvg13r.feishu.cn/share/base/query/shrcnMqxwwRkV3NUIUxPeab3sec</t>
        </is>
      </c>
      <c r="F1813" t="inlineStr">
        <is>
          <t>请添加微信：k846211</t>
        </is>
      </c>
      <c r="G1813" t="inlineStr">
        <is>
          <t>2026-03-15</t>
        </is>
      </c>
    </row>
    <row r="1814" ht="25.5" customHeight="1">
      <c r="A1814" t="inlineStr">
        <is>
          <t>墨菲定律：世界上最有趣最有用的定律  (李原)</t>
        </is>
      </c>
      <c r="B1814" s="2" t="str">
        <f>=HYPERLINK("https://pan.quark.cn/s/4d453a9b1aea", "https://pan.quark.cn/s/4d453a9b1aea")</f>
        <v>https://pan.quark.cn/s/4d453a9b1aea</v>
      </c>
      <c r="C1814" t="inlineStr">
        <is>
          <t>42.4MB</t>
        </is>
      </c>
      <c r="D1814" t="inlineStr">
        <is>
          <t>/墨菲定律/心理学/通俗读物/实用规律/白领/管理者</t>
        </is>
      </c>
      <c r="E1814" t="inlineStr">
        <is>
          <t>https://dcn8qexvg13r.feishu.cn/share/base/query/shrcnMqxwwRkV3NUIUxPeab3sec</t>
        </is>
      </c>
      <c r="F1814" t="inlineStr">
        <is>
          <t>请添加微信：k846211</t>
        </is>
      </c>
      <c r="G1814" t="inlineStr">
        <is>
          <t>2026-03-15</t>
        </is>
      </c>
    </row>
    <row r="1815" ht="25.5" customHeight="1">
      <c r="A1815" t="inlineStr">
        <is>
          <t>改变中国历史进程的100次战役</t>
        </is>
      </c>
      <c r="B1815" s="2" t="str">
        <f>=HYPERLINK("https://pan.quark.cn/s/bcc6ca4deff0", "https://pan.quark.cn/s/bcc6ca4deff0")</f>
        <v>https://pan.quark.cn/s/bcc6ca4deff0</v>
      </c>
      <c r="C1815" t="inlineStr">
        <is>
          <t>215.0MB</t>
        </is>
      </c>
      <c r="D1815" t="inlineStr">
        <is>
          <t>/中国历史/战役/历史进程/军事历史/大学生/考研/考公/考证党</t>
        </is>
      </c>
      <c r="E1815" t="inlineStr">
        <is>
          <t>https://dcn8qexvg13r.feishu.cn/share/base/query/shrcnMqxwwRkV3NUIUxPeab3sec</t>
        </is>
      </c>
      <c r="F1815" t="inlineStr">
        <is>
          <t>请添加微信：k846211</t>
        </is>
      </c>
      <c r="G1815" t="inlineStr">
        <is>
          <t>2026-03-15</t>
        </is>
      </c>
    </row>
    <row r="1816" ht="25.5" customHeight="1">
      <c r="A1816" t="inlineStr">
        <is>
          <t>张文晖满分数学 初中（7-9年级）</t>
        </is>
      </c>
      <c r="B1816" s="2" t="str">
        <f>=HYPERLINK("https://pan.quark.cn/s/a1fe63aaac14", "https://pan.quark.cn/s/a1fe63aaac14")</f>
        <v>https://pan.quark.cn/s/a1fe63aaac14</v>
      </c>
      <c r="C1816" t="inlineStr">
        <is>
          <t>11.8GB</t>
        </is>
      </c>
      <c r="D1816" t="inlineStr">
        <is>
          <t>/初中数学/满分冲刺/7-9年级/K12/学龄儿童家长</t>
        </is>
      </c>
      <c r="E1816" t="inlineStr">
        <is>
          <t>https://dcn8qexvg13r.feishu.cn/share/base/query/shrcnMqxwwRkV3NUIUxPeab3sec</t>
        </is>
      </c>
      <c r="F1816" t="inlineStr">
        <is>
          <t>请添加微信：k846211</t>
        </is>
      </c>
      <c r="G1816" t="inlineStr">
        <is>
          <t>2026-03-15</t>
        </is>
      </c>
    </row>
    <row r="1817" ht="25.5" customHeight="1">
      <c r="A1817" t="inlineStr">
        <is>
          <t>1下（33节）</t>
        </is>
      </c>
      <c r="B1817" s="2" t="str">
        <f>=HYPERLINK("https://pan.quark.cn/s/8197b7506c7c", "https://pan.quark.cn/s/8197b7506c7c")</f>
        <v>https://pan.quark.cn/s/8197b7506c7c</v>
      </c>
      <c r="C1817" t="inlineStr">
        <is>
          <t>1.0GB</t>
        </is>
      </c>
      <c r="D1817" t="inlineStr">
        <is>
          <t>/一年级下册/课程内容/33节课/K12/学龄儿童家长</t>
        </is>
      </c>
      <c r="E1817" t="inlineStr">
        <is>
          <t>https://dcn8qexvg13r.feishu.cn/share/base/query/shrcnMqxwwRkV3NUIUxPeab3sec</t>
        </is>
      </c>
      <c r="F1817" t="inlineStr">
        <is>
          <t>请添加微信：k846211</t>
        </is>
      </c>
      <c r="G1817" t="inlineStr">
        <is>
          <t>2026-03-15</t>
        </is>
      </c>
    </row>
    <row r="1818" ht="25.5" customHeight="1">
      <c r="A1818" t="inlineStr">
        <is>
          <t>2下（27节）</t>
        </is>
      </c>
      <c r="B1818" s="2" t="str">
        <f>=HYPERLINK("https://pan.quark.cn/s/c168e6831e29", "https://pan.quark.cn/s/c168e6831e29")</f>
        <v>https://pan.quark.cn/s/c168e6831e29</v>
      </c>
      <c r="C1818" t="inlineStr">
        <is>
          <t>873.3MB</t>
        </is>
      </c>
      <c r="D1818" t="inlineStr">
        <is>
          <t>/小学二年级/第27节/教学内容/学龄儿童家长/K12</t>
        </is>
      </c>
      <c r="E1818" t="inlineStr">
        <is>
          <t>https://dcn8qexvg13r.feishu.cn/share/base/query/shrcnMqxwwRkV3NUIUxPeab3sec</t>
        </is>
      </c>
      <c r="F1818" t="inlineStr">
        <is>
          <t>请添加微信：k846211</t>
        </is>
      </c>
      <c r="G1818" t="inlineStr">
        <is>
          <t>2026-03-15</t>
        </is>
      </c>
    </row>
    <row r="1819" ht="25.5" customHeight="1">
      <c r="A1819" t="inlineStr">
        <is>
          <t>3下（29节）</t>
        </is>
      </c>
      <c r="B1819" s="2" t="str">
        <f>=HYPERLINK("https://pan.quark.cn/s/1c974319f563", "https://pan.quark.cn/s/1c974319f563")</f>
        <v>https://pan.quark.cn/s/1c974319f563</v>
      </c>
      <c r="C1819" t="inlineStr">
        <is>
          <t>945.4MB</t>
        </is>
      </c>
      <c r="D1819" t="inlineStr">
        <is>
          <t>/3年级下册/第29节/教材配套/K12/学龄儿童家长</t>
        </is>
      </c>
      <c r="E1819" t="inlineStr">
        <is>
          <t>https://dcn8qexvg13r.feishu.cn/share/base/query/shrcnMqxwwRkV3NUIUxPeab3sec</t>
        </is>
      </c>
      <c r="F1819" t="inlineStr">
        <is>
          <t>请添加微信：k846211</t>
        </is>
      </c>
      <c r="G1819" t="inlineStr">
        <is>
          <t>2026-03-15</t>
        </is>
      </c>
    </row>
    <row r="1820" ht="25.5" customHeight="1">
      <c r="A1820" t="inlineStr">
        <is>
          <t>4下（28节）</t>
        </is>
      </c>
      <c r="B1820" s="2" t="str">
        <f>=HYPERLINK("https://pan.quark.cn/s/a9a75de90751", "https://pan.quark.cn/s/a9a75de90751")</f>
        <v>https://pan.quark.cn/s/a9a75de90751</v>
      </c>
      <c r="C1820" t="inlineStr">
        <is>
          <t>907.5MB</t>
        </is>
      </c>
      <c r="D1820" t="inlineStr">
        <is>
          <t>/四年级/下册/课程/28节/K12/学龄儿童家长</t>
        </is>
      </c>
      <c r="E1820" t="inlineStr">
        <is>
          <t>https://dcn8qexvg13r.feishu.cn/share/base/query/shrcnMqxwwRkV3NUIUxPeab3sec</t>
        </is>
      </c>
      <c r="F1820" t="inlineStr">
        <is>
          <t>请添加微信：k846211</t>
        </is>
      </c>
      <c r="G1820" t="inlineStr">
        <is>
          <t>2026-03-15</t>
        </is>
      </c>
    </row>
    <row r="1821" ht="25.5" customHeight="1">
      <c r="A1821" t="inlineStr">
        <is>
          <t>5下（41节）</t>
        </is>
      </c>
      <c r="B1821" s="2" t="str">
        <f>=HYPERLINK("https://pan.quark.cn/s/8f7cff8cedf4", "https://pan.quark.cn/s/8f7cff8cedf4")</f>
        <v>https://pan.quark.cn/s/8f7cff8cedf4</v>
      </c>
      <c r="C1821" t="inlineStr">
        <is>
          <t>1.3GB</t>
        </is>
      </c>
      <c r="D1821" t="inlineStr">
        <is>
          <t>/5年级下册/第41节/K12/K12/学龄儿童家长</t>
        </is>
      </c>
      <c r="E1821" t="inlineStr">
        <is>
          <t>https://dcn8qexvg13r.feishu.cn/share/base/query/shrcnMqxwwRkV3NUIUxPeab3sec</t>
        </is>
      </c>
      <c r="F1821" t="inlineStr">
        <is>
          <t>请添加微信：k846211</t>
        </is>
      </c>
      <c r="G1821" t="inlineStr">
        <is>
          <t>2026-03-15</t>
        </is>
      </c>
    </row>
    <row r="1822" ht="25.5" customHeight="1">
      <c r="A1822" t="inlineStr">
        <is>
          <t>6下（15节）</t>
        </is>
      </c>
      <c r="B1822" s="2" t="str">
        <f>=HYPERLINK("https://pan.quark.cn/s/7e03b338c42f", "https://pan.quark.cn/s/7e03b338c42f")</f>
        <v>https://pan.quark.cn/s/7e03b338c42f</v>
      </c>
      <c r="C1822" t="inlineStr">
        <is>
          <t>497.1MB</t>
        </is>
      </c>
      <c r="D1822" t="inlineStr">
        <is>
          <t>/六年级下册/第15节/K12/K12/学龄儿童家长</t>
        </is>
      </c>
      <c r="E1822" t="inlineStr">
        <is>
          <t>https://dcn8qexvg13r.feishu.cn/share/base/query/shrcnMqxwwRkV3NUIUxPeab3sec</t>
        </is>
      </c>
      <c r="F1822" t="inlineStr">
        <is>
          <t>请添加微信：k846211</t>
        </is>
      </c>
      <c r="G1822" t="inlineStr">
        <is>
          <t>2026-03-15</t>
        </is>
      </c>
    </row>
    <row r="1823" ht="25.5" customHeight="1">
      <c r="A1823" t="inlineStr">
        <is>
          <t>名师优课100课</t>
        </is>
      </c>
      <c r="B1823" s="2" t="str">
        <f>=HYPERLINK("https://pan.quark.cn/s/4d04f6a2bf1d", "https://pan.quark.cn/s/4d04f6a2bf1d")</f>
        <v>https://pan.quark.cn/s/4d04f6a2bf1d</v>
      </c>
      <c r="C1823" t="inlineStr">
        <is>
          <t>63.3GB</t>
        </is>
      </c>
      <c r="D1823" t="inlineStr">
        <is>
          <t>/名师/优课/课程/K12/学龄儿童家长</t>
        </is>
      </c>
      <c r="E1823" t="inlineStr">
        <is>
          <t>https://dcn8qexvg13r.feishu.cn/share/base/query/shrcnMqxwwRkV3NUIUxPeab3sec</t>
        </is>
      </c>
      <c r="F1823" t="inlineStr">
        <is>
          <t>请添加微信：k846211</t>
        </is>
      </c>
      <c r="G1823" t="inlineStr">
        <is>
          <t>2026-03-15</t>
        </is>
      </c>
    </row>
    <row r="1824" ht="25.5" customHeight="1">
      <c r="A1824" t="inlineStr">
        <is>
          <t>清华附小 动画教学视频</t>
        </is>
      </c>
      <c r="B1824" s="2" t="str">
        <f>=HYPERLINK("https://pan.quark.cn/s/594b99e9ca8b", "https://pan.quark.cn/s/594b99e9ca8b")</f>
        <v>https://pan.quark.cn/s/594b99e9ca8b</v>
      </c>
      <c r="C1824" t="inlineStr">
        <is>
          <t>12.8GB</t>
        </is>
      </c>
      <c r="D1824" t="inlineStr">
        <is>
          <t>/清华附小/动画教学/视频/教学视频/K12/学龄儿童家长</t>
        </is>
      </c>
      <c r="E1824" t="inlineStr">
        <is>
          <t>https://dcn8qexvg13r.feishu.cn/share/base/query/shrcnMqxwwRkV3NUIUxPeab3sec</t>
        </is>
      </c>
      <c r="F1824" t="inlineStr">
        <is>
          <t>请添加微信：k846211</t>
        </is>
      </c>
      <c r="G1824" t="inlineStr">
        <is>
          <t>2026-03-15</t>
        </is>
      </c>
    </row>
    <row r="1825" ht="25.5" customHeight="1">
      <c r="A1825" t="inlineStr">
        <is>
          <t>人教版小学数学1下【优质公开课】</t>
        </is>
      </c>
      <c r="B1825" s="2" t="str">
        <f>=HYPERLINK("https://pan.quark.cn/s/d08addc4d5f5", "https://pan.quark.cn/s/d08addc4d5f5")</f>
        <v>https://pan.quark.cn/s/d08addc4d5f5</v>
      </c>
      <c r="C1825" t="inlineStr">
        <is>
          <t>37.6GB</t>
        </is>
      </c>
      <c r="D1825" t="inlineStr">
        <is>
          <t>/小学数学/一年级下册/公开课/优质教学/K12/学龄儿童家长</t>
        </is>
      </c>
      <c r="E1825" t="inlineStr">
        <is>
          <t>https://dcn8qexvg13r.feishu.cn/share/base/query/shrcnMqxwwRkV3NUIUxPeab3sec</t>
        </is>
      </c>
      <c r="F1825" t="inlineStr">
        <is>
          <t>请添加微信：k846211</t>
        </is>
      </c>
      <c r="G1825" t="inlineStr">
        <is>
          <t>2026-03-15</t>
        </is>
      </c>
    </row>
    <row r="1826" ht="25.5" customHeight="1">
      <c r="A1826" t="inlineStr">
        <is>
          <t>人教版小学数学2下【优质公开课】</t>
        </is>
      </c>
      <c r="B1826" s="2" t="str">
        <f>=HYPERLINK("https://pan.quark.cn/s/e08cc2b620a0", "https://pan.quark.cn/s/e08cc2b620a0")</f>
        <v>https://pan.quark.cn/s/e08cc2b620a0</v>
      </c>
      <c r="C1826" t="inlineStr">
        <is>
          <t>53.9GB</t>
        </is>
      </c>
      <c r="D1826" t="inlineStr">
        <is>
          <t>/小学数学/二年级下册/公开课/教学优质/小学教育/K12/学龄儿童家长</t>
        </is>
      </c>
      <c r="E1826" t="inlineStr">
        <is>
          <t>https://dcn8qexvg13r.feishu.cn/share/base/query/shrcnMqxwwRkV3NUIUxPeab3sec</t>
        </is>
      </c>
      <c r="F1826" t="inlineStr">
        <is>
          <t>请添加微信：k846211</t>
        </is>
      </c>
      <c r="G1826" t="inlineStr">
        <is>
          <t>2026-03-15</t>
        </is>
      </c>
    </row>
    <row r="1827" ht="25.5" customHeight="1">
      <c r="A1827" t="inlineStr">
        <is>
          <t>一本课后小练习语文26年下册</t>
        </is>
      </c>
      <c r="B1827" s="2" t="str">
        <f>=HYPERLINK("https://pan.quark.cn/s/f87a3dcb54ce", "https://pan.quark.cn/s/f87a3dcb54ce")</f>
        <v>https://pan.quark.cn/s/f87a3dcb54ce</v>
      </c>
      <c r="C1827" t="inlineStr">
        <is>
          <t>495.7MB</t>
        </is>
      </c>
      <c r="D1827" t="inlineStr">
        <is>
          <t>/语文/课后练习/小学下册/K12/学龄儿童家长</t>
        </is>
      </c>
      <c r="E1827" t="inlineStr">
        <is>
          <t>https://dcn8qexvg13r.feishu.cn/share/base/query/shrcnMqxwwRkV3NUIUxPeab3sec</t>
        </is>
      </c>
      <c r="F1827" t="inlineStr">
        <is>
          <t>请添加微信：k846211</t>
        </is>
      </c>
      <c r="G1827" t="inlineStr">
        <is>
          <t>2026-03-15</t>
        </is>
      </c>
    </row>
    <row r="1828" ht="25.5" customHeight="1">
      <c r="A1828" t="inlineStr">
        <is>
          <t>一本课后小练习苏教26年下册</t>
        </is>
      </c>
      <c r="B1828" s="2" t="str">
        <f>=HYPERLINK("https://pan.quark.cn/s/e0b023b0eb36", "https://pan.quark.cn/s/e0b023b0eb36")</f>
        <v>https://pan.quark.cn/s/e0b023b0eb36</v>
      </c>
      <c r="C1828" t="inlineStr">
        <is>
          <t>420.7MB</t>
        </is>
      </c>
      <c r="D1828" t="inlineStr">
        <is>
          <t>课后练习/苏教版/26年下册/K12/学龄儿童家长</t>
        </is>
      </c>
      <c r="E1828" t="inlineStr">
        <is>
          <t>https://dcn8qexvg13r.feishu.cn/share/base/query/shrcnMqxwwRkV3NUIUxPeab3sec</t>
        </is>
      </c>
      <c r="F1828" t="inlineStr">
        <is>
          <t>请添加微信：k846211</t>
        </is>
      </c>
      <c r="G1828" t="inlineStr">
        <is>
          <t>2026-03-15</t>
        </is>
      </c>
    </row>
    <row r="1829" ht="25.5" customHeight="1">
      <c r="A1829" t="inlineStr">
        <is>
          <t>一本课后小练习pep26年下册</t>
        </is>
      </c>
      <c r="B1829" s="2" t="str">
        <f>=HYPERLINK("https://pan.quark.cn/s/e0ad448d911b", "https://pan.quark.cn/s/e0ad448d911b")</f>
        <v>https://pan.quark.cn/s/e0ad448d911b</v>
      </c>
      <c r="C1829" t="inlineStr">
        <is>
          <t>472.2MB</t>
        </is>
      </c>
      <c r="D1829" t="inlineStr">
        <is>
          <t>/课后练习/PEP/下册/K12/学龄儿童家长</t>
        </is>
      </c>
      <c r="E1829" t="inlineStr">
        <is>
          <t>https://dcn8qexvg13r.feishu.cn/share/base/query/shrcnMqxwwRkV3NUIUxPeab3sec</t>
        </is>
      </c>
      <c r="F1829" t="inlineStr">
        <is>
          <t>请添加微信：k846211</t>
        </is>
      </c>
      <c r="G1829" t="inlineStr">
        <is>
          <t>2026-03-15</t>
        </is>
      </c>
    </row>
    <row r="1830" ht="25.5" customHeight="1">
      <c r="A1830" t="inlineStr">
        <is>
          <t>一本课后小练习北师26年下册</t>
        </is>
      </c>
      <c r="B1830" s="2" t="str">
        <f>=HYPERLINK("https://pan.quark.cn/s/b54b1303e1c1", "https://pan.quark.cn/s/b54b1303e1c1")</f>
        <v>https://pan.quark.cn/s/b54b1303e1c1</v>
      </c>
      <c r="C1830" t="inlineStr">
        <is>
          <t>407.7MB</t>
        </is>
      </c>
      <c r="D1830" t="inlineStr">
        <is>
          <t>/课后练习/北师大版/2026年/下册/K12/学龄儿童家长</t>
        </is>
      </c>
      <c r="E1830" t="inlineStr">
        <is>
          <t>https://dcn8qexvg13r.feishu.cn/share/base/query/shrcnMqxwwRkV3NUIUxPeab3sec</t>
        </is>
      </c>
      <c r="F1830" t="inlineStr">
        <is>
          <t>请添加微信：k846211</t>
        </is>
      </c>
      <c r="G1830" t="inlineStr">
        <is>
          <t>2026-03-15</t>
        </is>
      </c>
    </row>
    <row r="1831" ht="25.5" customHeight="1">
      <c r="A1831" t="inlineStr">
        <is>
          <t>六下【科学】</t>
        </is>
      </c>
      <c r="B1831" s="2" t="str">
        <f>=HYPERLINK("https://pan.quark.cn/s/60f6c35dabbe", "https://pan.quark.cn/s/60f6c35dabbe")</f>
        <v>https://pan.quark.cn/s/60f6c35dabbe</v>
      </c>
      <c r="C1831" t="inlineStr">
        <is>
          <t>396.7MB</t>
        </is>
      </c>
      <c r="D1831" t="inlineStr">
        <is>
          <t>/科学/六年级下册/K12教材/学科学习/K12/学龄儿童家长</t>
        </is>
      </c>
      <c r="E1831" t="inlineStr">
        <is>
          <t>https://dcn8qexvg13r.feishu.cn/share/base/query/shrcnMqxwwRkV3NUIUxPeab3sec</t>
        </is>
      </c>
      <c r="F1831" t="inlineStr">
        <is>
          <t>请添加微信：k846211</t>
        </is>
      </c>
      <c r="G1831" t="inlineStr">
        <is>
          <t>2026-03-15</t>
        </is>
      </c>
    </row>
    <row r="1832" ht="25.5" customHeight="1">
      <c r="A1832" t="inlineStr">
        <is>
          <t>六下苏教版科学【2024-2025学年下学期期末综合素养评价卷（一）】.pdf</t>
        </is>
      </c>
      <c r="B1832" s="2" t="str">
        <f>=HYPERLINK("https://pan.quark.cn/s/611333997052", "https://pan.quark.cn/s/611333997052")</f>
        <v>https://pan.quark.cn/s/611333997052</v>
      </c>
      <c r="C1832" t="inlineStr">
        <is>
          <t>1000.4KB</t>
        </is>
      </c>
      <c r="D1832" t="inlineStr">
        <is>
          <t>/六下科学/苏教版/期末评价卷/综合素养/K12/学龄儿童家长</t>
        </is>
      </c>
      <c r="E1832" t="inlineStr">
        <is>
          <t>https://dcn8qexvg13r.feishu.cn/share/base/query/shrcnMqxwwRkV3NUIUxPeab3sec</t>
        </is>
      </c>
      <c r="F1832" t="inlineStr">
        <is>
          <t>请添加微信：k846211</t>
        </is>
      </c>
      <c r="G1832" t="inlineStr">
        <is>
          <t>2026-03-15</t>
        </is>
      </c>
    </row>
    <row r="1833" ht="25.5" customHeight="1">
      <c r="A1833" t="inlineStr">
        <is>
          <t>六下苏教版科学【2024-2025学年下学期期末综合素养评价卷（二）】.pdf</t>
        </is>
      </c>
      <c r="B1833" s="2" t="str">
        <f>=HYPERLINK("https://pan.quark.cn/s/888a50e80bb3", "https://pan.quark.cn/s/888a50e80bb3")</f>
        <v>https://pan.quark.cn/s/888a50e80bb3</v>
      </c>
      <c r="C1833" t="inlineStr">
        <is>
          <t>508.5KB</t>
        </is>
      </c>
      <c r="D1833" t="inlineStr">
        <is>
          <t>/六下科学/苏教版/期末评价卷/综合素养/K12/学龄儿童家长</t>
        </is>
      </c>
      <c r="E1833" t="inlineStr">
        <is>
          <t>https://dcn8qexvg13r.feishu.cn/share/base/query/shrcnMqxwwRkV3NUIUxPeab3sec</t>
        </is>
      </c>
      <c r="F1833" t="inlineStr">
        <is>
          <t>请添加微信：k846211</t>
        </is>
      </c>
      <c r="G1833" t="inlineStr">
        <is>
          <t>2026-03-15</t>
        </is>
      </c>
    </row>
    <row r="1834" ht="25.5" customHeight="1">
      <c r="A1834" t="inlineStr">
        <is>
          <t>六下苏教版科学【2024-2025学年下学期期末真题密押卷】.pdf</t>
        </is>
      </c>
      <c r="B1834" s="2" t="str">
        <f>=HYPERLINK("https://pan.quark.cn/s/8a5e7ce32d45", "https://pan.quark.cn/s/8a5e7ce32d45")</f>
        <v>https://pan.quark.cn/s/8a5e7ce32d45</v>
      </c>
      <c r="C1834" t="inlineStr">
        <is>
          <t>610.0KB</t>
        </is>
      </c>
      <c r="D1834" t="inlineStr">
        <is>
          <t>/六下科学/苏教版/期末真题/密押卷/K12/学龄儿童家长</t>
        </is>
      </c>
      <c r="E1834" t="inlineStr">
        <is>
          <t>https://dcn8qexvg13r.feishu.cn/share/base/query/shrcnMqxwwRkV3NUIUxPeab3sec</t>
        </is>
      </c>
      <c r="F1834" t="inlineStr">
        <is>
          <t>请添加微信：k846211</t>
        </is>
      </c>
      <c r="G1834" t="inlineStr">
        <is>
          <t>2026-03-15</t>
        </is>
      </c>
    </row>
    <row r="1835" ht="25.5" customHeight="1">
      <c r="A1835" t="inlineStr">
        <is>
          <t>六下苏教版科学【快乐练习】.pdf</t>
        </is>
      </c>
      <c r="B1835" s="2" t="str">
        <f>=HYPERLINK("https://pan.quark.cn/s/41477d8d956a", "https://pan.quark.cn/s/41477d8d956a")</f>
        <v>https://pan.quark.cn/s/41477d8d956a</v>
      </c>
      <c r="C1835" t="inlineStr">
        <is>
          <t>18.1MB</t>
        </is>
      </c>
      <c r="D1835" t="inlineStr">
        <is>
          <t>/科学/苏教版/六年级下册/快乐练习/K12/学龄儿童家长</t>
        </is>
      </c>
      <c r="E1835" t="inlineStr">
        <is>
          <t>https://dcn8qexvg13r.feishu.cn/share/base/query/shrcnMqxwwRkV3NUIUxPeab3sec</t>
        </is>
      </c>
      <c r="F1835" t="inlineStr">
        <is>
          <t>请添加微信：k846211</t>
        </is>
      </c>
      <c r="G1835" t="inlineStr">
        <is>
          <t>2026-03-15</t>
        </is>
      </c>
    </row>
    <row r="1836" ht="25.5" customHeight="1">
      <c r="A1836" t="inlineStr">
        <is>
          <t>【苏教版】六年级上册科学电子课本.pdf</t>
        </is>
      </c>
      <c r="B1836" s="2" t="str">
        <f>=HYPERLINK("https://pan.quark.cn/s/4882418aa51d", "https://pan.quark.cn/s/4882418aa51d")</f>
        <v>https://pan.quark.cn/s/4882418aa51d</v>
      </c>
      <c r="C1836" t="inlineStr">
        <is>
          <t>27.7MB</t>
        </is>
      </c>
      <c r="D1836" t="inlineStr">
        <is>
          <t>/科学/六年级上册/苏教版/电子课本/K12/学龄儿童家长</t>
        </is>
      </c>
      <c r="E1836" t="inlineStr">
        <is>
          <t>https://dcn8qexvg13r.feishu.cn/share/base/query/shrcnMqxwwRkV3NUIUxPeab3sec</t>
        </is>
      </c>
      <c r="F1836" t="inlineStr">
        <is>
          <t>请添加微信：k846211</t>
        </is>
      </c>
      <c r="G1836" t="inlineStr">
        <is>
          <t>2026-03-15</t>
        </is>
      </c>
    </row>
    <row r="1837" ht="25.5" customHeight="1">
      <c r="A1837" t="inlineStr">
        <is>
          <t>【苏教版】六年级下册科学电子课本.pdf</t>
        </is>
      </c>
      <c r="B1837" s="2" t="str">
        <f>=HYPERLINK("https://pan.quark.cn/s/6d737ef2d6e1", "https://pan.quark.cn/s/6d737ef2d6e1")</f>
        <v>https://pan.quark.cn/s/6d737ef2d6e1</v>
      </c>
      <c r="C1837" t="inlineStr">
        <is>
          <t>50.3MB</t>
        </is>
      </c>
      <c r="D1837" t="inlineStr">
        <is>
          <t>/科学/六年级下册/苏教版/电子课本/K12/学龄儿童家长</t>
        </is>
      </c>
      <c r="E1837" t="inlineStr">
        <is>
          <t>https://dcn8qexvg13r.feishu.cn/share/base/query/shrcnMqxwwRkV3NUIUxPeab3sec</t>
        </is>
      </c>
      <c r="F1837" t="inlineStr">
        <is>
          <t>请添加微信：k846211</t>
        </is>
      </c>
      <c r="G1837" t="inlineStr">
        <is>
          <t>2026-03-15</t>
        </is>
      </c>
    </row>
    <row r="1838" ht="25.5" customHeight="1">
      <c r="A1838" t="inlineStr">
        <is>
          <t>考研复试必背攻略</t>
        </is>
      </c>
      <c r="B1838" s="2" t="str">
        <f>=HYPERLINK("https://pan.quark.cn/s/f6b425386c71", "https://pan.quark.cn/s/f6b425386c71")</f>
        <v>https://pan.quark.cn/s/f6b425386c71</v>
      </c>
      <c r="C1838" t="inlineStr">
        <is>
          <t>2.1MB</t>
        </is>
      </c>
      <c r="D1838" t="inlineStr">
        <is>
          <t>/考研复试/攻略/备考/核心必背/考研/考公/考证党</t>
        </is>
      </c>
      <c r="E1838" t="inlineStr">
        <is>
          <t>https://dcn8qexvg13r.feishu.cn/share/base/query/shrcnMqxwwRkV3NUIUxPeab3sec</t>
        </is>
      </c>
      <c r="F1838" t="inlineStr">
        <is>
          <t>请添加微信：k846211</t>
        </is>
      </c>
      <c r="G1838" t="inlineStr">
        <is>
          <t>2026-03-15</t>
        </is>
      </c>
    </row>
    <row r="1839" ht="25.5" customHeight="1">
      <c r="A1839" t="inlineStr">
        <is>
          <t>考研复试简历124款</t>
        </is>
      </c>
      <c r="B1839" s="2" t="str">
        <f>=HYPERLINK("https://pan.quark.cn/s/1cf4f6d1807f", "https://pan.quark.cn/s/1cf4f6d1807f")</f>
        <v>https://pan.quark.cn/s/1cf4f6d1807f</v>
      </c>
      <c r="C1839" t="inlineStr">
        <is>
          <t>52.1MB</t>
        </is>
      </c>
      <c r="D1839" t="inlineStr">
        <is>
          <t>/考研复试/简历/简历模板/考研/考研/考公/考证党</t>
        </is>
      </c>
      <c r="E1839" t="inlineStr">
        <is>
          <t>https://dcn8qexvg13r.feishu.cn/share/base/query/shrcnMqxwwRkV3NUIUxPeab3sec</t>
        </is>
      </c>
      <c r="F1839" t="inlineStr">
        <is>
          <t>请添加微信：k846211</t>
        </is>
      </c>
      <c r="G1839" t="inlineStr">
        <is>
          <t>2026-03-15</t>
        </is>
      </c>
    </row>
    <row r="1840" ht="25.5" customHeight="1">
      <c r="A1840" t="inlineStr">
        <is>
          <t>考研复试简历模板</t>
        </is>
      </c>
      <c r="B1840" s="2" t="str">
        <f>=HYPERLINK("https://pan.quark.cn/s/2be01e6fa4ae", "https://pan.quark.cn/s/2be01e6fa4ae")</f>
        <v>https://pan.quark.cn/s/2be01e6fa4ae</v>
      </c>
      <c r="C1840" t="inlineStr">
        <is>
          <t>18.1MB</t>
        </is>
      </c>
      <c r="D1840" t="inlineStr">
        <is>
          <t>/考研复试/简历模板/求职材料/考研/考公/考证党/大学生</t>
        </is>
      </c>
      <c r="E1840" t="inlineStr">
        <is>
          <t>https://dcn8qexvg13r.feishu.cn/share/base/query/shrcnMqxwwRkV3NUIUxPeab3sec</t>
        </is>
      </c>
      <c r="F1840" t="inlineStr">
        <is>
          <t>请添加微信：k846211</t>
        </is>
      </c>
      <c r="G1840" t="inlineStr">
        <is>
          <t>2026-03-15</t>
        </is>
      </c>
    </row>
    <row r="1841" ht="25.5" customHeight="1">
      <c r="A1841" t="inlineStr">
        <is>
          <t>全国120多所高校考研复试真题</t>
        </is>
      </c>
      <c r="B1841" s="2" t="str">
        <f>=HYPERLINK("https://pan.quark.cn/s/9a0338e6fe85", "https://pan.quark.cn/s/9a0338e6fe85")</f>
        <v>https://pan.quark.cn/s/9a0338e6fe85</v>
      </c>
      <c r="C1841" t="inlineStr">
        <is>
          <t>9.8MB</t>
        </is>
      </c>
      <c r="D1841" t="inlineStr">
        <is>
          <t>/考研复试/高校真题/考试备考/考研/考研/考公/考证党</t>
        </is>
      </c>
      <c r="E1841" t="inlineStr">
        <is>
          <t>https://dcn8qexvg13r.feishu.cn/share/base/query/shrcnMqxwwRkV3NUIUxPeab3sec</t>
        </is>
      </c>
      <c r="F1841" t="inlineStr">
        <is>
          <t>请添加微信：k846211</t>
        </is>
      </c>
      <c r="G1841" t="inlineStr">
        <is>
          <t>2026-03-15</t>
        </is>
      </c>
    </row>
    <row r="1842" ht="25.5" customHeight="1">
      <c r="A1842" t="inlineStr">
        <is>
          <t>全国140所热门高校复试真题</t>
        </is>
      </c>
      <c r="B1842" s="2" t="str">
        <f>=HYPERLINK("https://pan.quark.cn/s/cbc4956f0e65", "https://pan.quark.cn/s/cbc4956f0e65")</f>
        <v>https://pan.quark.cn/s/cbc4956f0e65</v>
      </c>
      <c r="C1842" t="inlineStr">
        <is>
          <t>2.1MB</t>
        </is>
      </c>
      <c r="D1842" t="inlineStr">
        <is>
          <t>/高校复试/考研真题/热门高校/复试备考/考研/考公/考证党</t>
        </is>
      </c>
      <c r="E1842" t="inlineStr">
        <is>
          <t>https://dcn8qexvg13r.feishu.cn/share/base/query/shrcnMqxwwRkV3NUIUxPeab3sec</t>
        </is>
      </c>
      <c r="F1842" t="inlineStr">
        <is>
          <t>请添加微信：k846211</t>
        </is>
      </c>
      <c r="G1842" t="inlineStr">
        <is>
          <t>2026-03-15</t>
        </is>
      </c>
    </row>
    <row r="1843" ht="25.5" customHeight="1">
      <c r="A1843" t="inlineStr">
        <is>
          <t>腿姐《复试调剂宝典》无水印PDF</t>
        </is>
      </c>
      <c r="B1843" s="2" t="str">
        <f>=HYPERLINK("https://pan.quark.cn/s/d5851de18b53", "https://pan.quark.cn/s/d5851de18b53")</f>
        <v>https://pan.quark.cn/s/d5851de18b53</v>
      </c>
      <c r="C1843" t="inlineStr">
        <is>
          <t>7.6MB</t>
        </is>
      </c>
      <c r="D1843" t="inlineStr">
        <is>
          <t>/复试/调剂/考研/无水印PDF/考研/考公/考证党/大学生</t>
        </is>
      </c>
      <c r="E1843" t="inlineStr">
        <is>
          <t>https://dcn8qexvg13r.feishu.cn/share/base/query/shrcnMqxwwRkV3NUIUxPeab3sec</t>
        </is>
      </c>
      <c r="F1843" t="inlineStr">
        <is>
          <t>请添加微信：k846211</t>
        </is>
      </c>
      <c r="G1843" t="inlineStr">
        <is>
          <t>2026-03-15</t>
        </is>
      </c>
    </row>
    <row r="1844" ht="25.5" customHeight="1">
      <c r="A1844" t="inlineStr">
        <is>
          <t>六年级数学下册人教版26春《一本预习笔记》.pdf</t>
        </is>
      </c>
      <c r="B1844" s="2" t="str">
        <f>=HYPERLINK("https://pan.quark.cn/s/79046348eaaf", "https://pan.quark.cn/s/79046348eaaf")</f>
        <v>https://pan.quark.cn/s/79046348eaaf</v>
      </c>
      <c r="C1844" t="inlineStr">
        <is>
          <t>674.9MB</t>
        </is>
      </c>
      <c r="D1844" t="inlineStr">
        <is>
          <t>/六年级数学/人教版/预习笔记/数学下册/学龄儿童家长/K12</t>
        </is>
      </c>
      <c r="E1844" t="inlineStr">
        <is>
          <t>https://dcn8qexvg13r.feishu.cn/share/base/query/shrcnMqxwwRkV3NUIUxPeab3sec</t>
        </is>
      </c>
      <c r="F1844" t="inlineStr">
        <is>
          <t>请添加微信：k846211</t>
        </is>
      </c>
      <c r="G1844" t="inlineStr">
        <is>
          <t>2026-03-15</t>
        </is>
      </c>
    </row>
    <row r="1845" ht="25.5" customHeight="1">
      <c r="A1845" t="inlineStr">
        <is>
          <t>教师工作包</t>
        </is>
      </c>
      <c r="B1845" s="2" t="str">
        <f>=HYPERLINK("https://pan.quark.cn/s/c200e05251cf", "https://pan.quark.cn/s/c200e05251cf")</f>
        <v>https://pan.quark.cn/s/c200e05251cf</v>
      </c>
      <c r="C1845" t="inlineStr">
        <is>
          <t>487.7MB</t>
        </is>
      </c>
      <c r="D1845" t="inlineStr">
        <is>
          <t>/教师/工作/教学辅助/职业发展/K12/特定行业从业者</t>
        </is>
      </c>
      <c r="E1845" t="inlineStr">
        <is>
          <t>https://dcn8qexvg13r.feishu.cn/share/base/query/shrcnMqxwwRkV3NUIUxPeab3sec</t>
        </is>
      </c>
      <c r="F1845" t="inlineStr">
        <is>
          <t>请添加微信：k846211</t>
        </is>
      </c>
      <c r="G1845" t="inlineStr">
        <is>
          <t>2026-03-15</t>
        </is>
      </c>
    </row>
    <row r="1846" ht="25.5" customHeight="1">
      <c r="A1846" t="inlineStr">
        <is>
          <t>26春1-6下考点梳理时习卷人教版数学</t>
        </is>
      </c>
      <c r="B1846" s="2" t="str">
        <f>=HYPERLINK("https://pan.quark.cn/s/7413aa8c5eb8", "https://pan.quark.cn/s/7413aa8c5eb8")</f>
        <v>https://pan.quark.cn/s/7413aa8c5eb8</v>
      </c>
      <c r="C1846" t="inlineStr">
        <is>
          <t>531.8MB</t>
        </is>
      </c>
      <c r="D1846" t="inlineStr">
        <is>
          <t>/人教版数学/考点梳理/时习卷/小学1-6年级/K12/学龄儿童家长</t>
        </is>
      </c>
      <c r="E1846" t="inlineStr">
        <is>
          <t>https://dcn8qexvg13r.feishu.cn/share/base/query/shrcnMqxwwRkV3NUIUxPeab3sec</t>
        </is>
      </c>
      <c r="F1846" t="inlineStr">
        <is>
          <t>请添加微信：k846211</t>
        </is>
      </c>
      <c r="G1846" t="inlineStr">
        <is>
          <t>2026-03-15</t>
        </is>
      </c>
    </row>
    <row r="1847" ht="25.5" customHeight="1">
      <c r="A1847" t="inlineStr">
        <is>
          <t>2026春《考点梳理时习卷》语文1-6下</t>
        </is>
      </c>
      <c r="B1847" s="2" t="str">
        <f>=HYPERLINK("https://pan.quark.cn/s/72706670f7cb", "https://pan.quark.cn/s/72706670f7cb")</f>
        <v>https://pan.quark.cn/s/72706670f7cb</v>
      </c>
      <c r="C1847" t="inlineStr">
        <is>
          <t>1.4GB</t>
        </is>
      </c>
      <c r="D1847" t="inlineStr">
        <is>
          <t>/考点梳理/时习卷/语文/1-6年级/小学/K12/学龄儿童家长</t>
        </is>
      </c>
      <c r="E1847" t="inlineStr">
        <is>
          <t>https://dcn8qexvg13r.feishu.cn/share/base/query/shrcnMqxwwRkV3NUIUxPeab3sec</t>
        </is>
      </c>
      <c r="F1847" t="inlineStr">
        <is>
          <t>请添加微信：k846211</t>
        </is>
      </c>
      <c r="G1847" t="inlineStr">
        <is>
          <t>2026-03-15</t>
        </is>
      </c>
    </row>
    <row r="1848" ht="25.5" customHeight="1">
      <c r="A1848" t="inlineStr">
        <is>
          <t>一年级下册语文期中1-4单元基础过关练习卷(1).pdf</t>
        </is>
      </c>
      <c r="B1848" s="2" t="str">
        <f>=HYPERLINK("https://pan.quark.cn/s/505f8c8c1c7b", "https://pan.quark.cn/s/505f8c8c1c7b")</f>
        <v>https://pan.quark.cn/s/505f8c8c1c7b</v>
      </c>
      <c r="C1848" t="inlineStr">
        <is>
          <t>3.1MB</t>
        </is>
      </c>
      <c r="D1848" t="inlineStr">
        <is>
          <t>/一年级下册语文/期中练习卷/1-4单元/基础过关/K12/学龄儿童家长</t>
        </is>
      </c>
      <c r="E1848" t="inlineStr">
        <is>
          <t>https://dcn8qexvg13r.feishu.cn/share/base/query/shrcnMqxwwRkV3NUIUxPeab3sec</t>
        </is>
      </c>
      <c r="F1848" t="inlineStr">
        <is>
          <t>请添加微信：k846211</t>
        </is>
      </c>
      <c r="G1848" t="inlineStr">
        <is>
          <t>2026-03-15</t>
        </is>
      </c>
    </row>
    <row r="1849" ht="25.5" customHeight="1">
      <c r="A1849" t="inlineStr">
        <is>
          <t>二年级下册语文期中1-4单元基础过关练习卷(1).pdf</t>
        </is>
      </c>
      <c r="B1849" s="2" t="str">
        <f>=HYPERLINK("https://pan.quark.cn/s/271375af32c8", "https://pan.quark.cn/s/271375af32c8")</f>
        <v>https://pan.quark.cn/s/271375af32c8</v>
      </c>
      <c r="C1849" t="inlineStr">
        <is>
          <t>1.2MB</t>
        </is>
      </c>
      <c r="D1849" t="inlineStr">
        <is>
          <t>/二年级语文/期中练习卷/基础过关/1-4单元/K12/学龄儿童家长</t>
        </is>
      </c>
      <c r="E1849" t="inlineStr">
        <is>
          <t>https://dcn8qexvg13r.feishu.cn/share/base/query/shrcnMqxwwRkV3NUIUxPeab3sec</t>
        </is>
      </c>
      <c r="F1849" t="inlineStr">
        <is>
          <t>请添加微信：k846211</t>
        </is>
      </c>
      <c r="G1849" t="inlineStr">
        <is>
          <t>2026-03-15</t>
        </is>
      </c>
    </row>
    <row r="1850" ht="25.5" customHeight="1">
      <c r="A1850" t="inlineStr">
        <is>
          <t>三年级下册语文期中1-4单元基础过关练习卷(1).pdf</t>
        </is>
      </c>
      <c r="B1850" s="2" t="str">
        <f>=HYPERLINK("https://pan.quark.cn/s/c1d77d49ad36", "https://pan.quark.cn/s/c1d77d49ad36")</f>
        <v>https://pan.quark.cn/s/c1d77d49ad36</v>
      </c>
      <c r="C1850" t="inlineStr">
        <is>
          <t>6.0MB</t>
        </is>
      </c>
      <c r="D1850" t="inlineStr">
        <is>
          <t>/三年级下册语文/期中练习卷/1-4单元/基础过关/K12/学龄儿童家长</t>
        </is>
      </c>
      <c r="E1850" t="inlineStr">
        <is>
          <t>https://dcn8qexvg13r.feishu.cn/share/base/query/shrcnMqxwwRkV3NUIUxPeab3sec</t>
        </is>
      </c>
      <c r="F1850" t="inlineStr">
        <is>
          <t>请添加微信：k846211</t>
        </is>
      </c>
      <c r="G1850" t="inlineStr">
        <is>
          <t>2026-03-15</t>
        </is>
      </c>
    </row>
    <row r="1851" ht="25.5" customHeight="1">
      <c r="A1851" t="inlineStr">
        <is>
          <t>四年级下册语文期中1-4单元基础过关练习卷(1).pdf</t>
        </is>
      </c>
      <c r="B1851" s="2" t="str">
        <f>=HYPERLINK("https://pan.quark.cn/s/9a90a58dd535", "https://pan.quark.cn/s/9a90a58dd535")</f>
        <v>https://pan.quark.cn/s/9a90a58dd535</v>
      </c>
      <c r="C1851" t="inlineStr">
        <is>
          <t>6.3MB</t>
        </is>
      </c>
      <c r="D1851" t="inlineStr">
        <is>
          <t>/四年级下册语文/期中练习卷/1-4单元/基础过关/K12/学龄儿童家长</t>
        </is>
      </c>
      <c r="E1851" t="inlineStr">
        <is>
          <t>https://dcn8qexvg13r.feishu.cn/share/base/query/shrcnMqxwwRkV3NUIUxPeab3sec</t>
        </is>
      </c>
      <c r="F1851" t="inlineStr">
        <is>
          <t>请添加微信：k846211</t>
        </is>
      </c>
      <c r="G1851" t="inlineStr">
        <is>
          <t>2026-03-15</t>
        </is>
      </c>
    </row>
    <row r="1852" ht="25.5" customHeight="1">
      <c r="A1852" t="inlineStr">
        <is>
          <t>五年级下册语文期中1-4单元基础过关练习卷(1).pdf</t>
        </is>
      </c>
      <c r="B1852" s="2" t="str">
        <f>=HYPERLINK("https://pan.quark.cn/s/cc6090be2b6a", "https://pan.quark.cn/s/cc6090be2b6a")</f>
        <v>https://pan.quark.cn/s/cc6090be2b6a</v>
      </c>
      <c r="C1852" t="inlineStr">
        <is>
          <t>3.9MB</t>
        </is>
      </c>
      <c r="D1852" t="inlineStr">
        <is>
          <t>/五年级下册语文/期中练习/基础过关/K12/学龄儿童家长</t>
        </is>
      </c>
      <c r="E1852" t="inlineStr">
        <is>
          <t>https://dcn8qexvg13r.feishu.cn/share/base/query/shrcnMqxwwRkV3NUIUxPeab3sec</t>
        </is>
      </c>
      <c r="F1852" t="inlineStr">
        <is>
          <t>请添加微信：k846211</t>
        </is>
      </c>
      <c r="G1852" t="inlineStr">
        <is>
          <t>2026-03-15</t>
        </is>
      </c>
    </row>
    <row r="1853" ht="25.5" customHeight="1">
      <c r="A1853" t="inlineStr">
        <is>
          <t>六年级下册语文期中1-4单元基础过关练习卷(1).pdf</t>
        </is>
      </c>
      <c r="B1853" s="2" t="str">
        <f>=HYPERLINK("https://pan.quark.cn/s/1f2da3f7fb24", "https://pan.quark.cn/s/1f2da3f7fb24")</f>
        <v>https://pan.quark.cn/s/1f2da3f7fb24</v>
      </c>
      <c r="C1853" t="inlineStr">
        <is>
          <t>5.0MB</t>
        </is>
      </c>
      <c r="D1853" t="inlineStr">
        <is>
          <t>/六年级下册/语文/期中练习/基础过关/K12/学龄儿童家长</t>
        </is>
      </c>
      <c r="E1853" t="inlineStr">
        <is>
          <t>https://dcn8qexvg13r.feishu.cn/share/base/query/shrcnMqxwwRkV3NUIUxPeab3sec</t>
        </is>
      </c>
      <c r="F1853" t="inlineStr">
        <is>
          <t>请添加微信：k846211</t>
        </is>
      </c>
      <c r="G1853" t="inlineStr">
        <is>
          <t>2026-03-15</t>
        </is>
      </c>
    </row>
    <row r="1854" ht="25.5" customHeight="1">
      <c r="A1854" t="inlineStr">
        <is>
          <t>Tableau零基础教程，带你解锁当下最受欢迎的数据可视化软件</t>
        </is>
      </c>
      <c r="B1854" s="2" t="str">
        <f>=HYPERLINK("https://pan.quark.cn/s/b04cc6e2cfc7", "https://pan.quark.cn/s/b04cc6e2cfc7")</f>
        <v>https://pan.quark.cn/s/b04cc6e2cfc7</v>
      </c>
      <c r="C1854" t="inlineStr">
        <is>
          <t>1.4GB</t>
        </is>
      </c>
      <c r="D1854" t="inlineStr">
        <is>
          <t>/Tableau/数据可视化/零基础/教程/大学生/白领/技能入门</t>
        </is>
      </c>
      <c r="E1854" t="inlineStr">
        <is>
          <t>https://dcn8qexvg13r.feishu.cn/share/base/query/shrcnMqxwwRkV3NUIUxPeab3sec</t>
        </is>
      </c>
      <c r="F1854" t="inlineStr">
        <is>
          <t>请添加微信：k846211</t>
        </is>
      </c>
      <c r="G1854" t="inlineStr">
        <is>
          <t>2026-03-19</t>
        </is>
      </c>
    </row>
    <row r="1855" ht="25.5" customHeight="1">
      <c r="A1855" t="inlineStr">
        <is>
          <t>小红书幼儿动画英语启蒙项目(引流+变现)</t>
        </is>
      </c>
      <c r="B1855" s="2" t="str">
        <f>=HYPERLINK("https://pan.quark.cn/s/c53f9fb83b6a", "https://pan.quark.cn/s/c53f9fb83b6a")</f>
        <v>https://pan.quark.cn/s/c53f9fb83b6a</v>
      </c>
      <c r="C1855" t="inlineStr">
        <is>
          <t>124.0MB</t>
        </is>
      </c>
      <c r="D1855" t="inlineStr">
        <is>
          <t>/幼儿英语启蒙/动画教学/引流变现/小红书/宝妈/家长群体/育儿</t>
        </is>
      </c>
      <c r="E1855" t="inlineStr">
        <is>
          <t>https://dcn8qexvg13r.feishu.cn/share/base/query/shrcnMqxwwRkV3NUIUxPeab3sec</t>
        </is>
      </c>
      <c r="F1855" t="inlineStr">
        <is>
          <t>请添加微信：k846211</t>
        </is>
      </c>
      <c r="G1855" t="inlineStr">
        <is>
          <t>2026-03-19</t>
        </is>
      </c>
    </row>
    <row r="1856" ht="25.5" customHeight="1">
      <c r="A1856" t="inlineStr">
        <is>
          <t xml:space="preserve"> 手把手教你做AI自制表情包(引流+变现)</t>
        </is>
      </c>
      <c r="B1856" s="2" t="str">
        <f>=HYPERLINK("https://pan.quark.cn/s/25cd0eecd408", "https://pan.quark.cn/s/25cd0eecd408")</f>
        <v>https://pan.quark.cn/s/25cd0eecd408</v>
      </c>
      <c r="C1856" t="inlineStr">
        <is>
          <t>111.1MB</t>
        </is>
      </c>
      <c r="D1856" t="inlineStr">
        <is>
          <t>AI表情包/自制教程/引流/变现/技能入门/特定行业从业者/白领</t>
        </is>
      </c>
      <c r="E1856" t="inlineStr">
        <is>
          <t>https://dcn8qexvg13r.feishu.cn/share/base/query/shrcnMqxwwRkV3NUIUxPeab3sec</t>
        </is>
      </c>
      <c r="F1856" t="inlineStr">
        <is>
          <t>请添加微信：k846211</t>
        </is>
      </c>
      <c r="G1856" t="inlineStr">
        <is>
          <t>2026-03-19</t>
        </is>
      </c>
    </row>
    <row r="1857" ht="25.5" customHeight="1">
      <c r="A1857" t="inlineStr">
        <is>
          <t>26春1-6年级下册语文高频考点默写单</t>
        </is>
      </c>
      <c r="B1857" s="2" t="str">
        <f>=HYPERLINK("https://pan.quark.cn/s/5efb7f5bd55d", "https://pan.quark.cn/s/5efb7f5bd55d")</f>
        <v>https://pan.quark.cn/s/5efb7f5bd55d</v>
      </c>
      <c r="C1857" t="inlineStr">
        <is>
          <t>25.3MB</t>
        </is>
      </c>
      <c r="D1857" t="inlineStr">
        <is>
          <t>/小学语文/高频考点/默写单/6年级下册/1年级下册/K12/学龄儿童家长</t>
        </is>
      </c>
      <c r="E1857" t="inlineStr">
        <is>
          <t>https://dcn8qexvg13r.feishu.cn/share/base/query/shrcnMqxwwRkV3NUIUxPeab3sec</t>
        </is>
      </c>
      <c r="F1857" t="inlineStr">
        <is>
          <t>请添加微信：k846211</t>
        </is>
      </c>
      <c r="G1857" t="inlineStr">
        <is>
          <t>2026-03-15</t>
        </is>
      </c>
    </row>
    <row r="1858" ht="25.5" customHeight="1">
      <c r="A1858" t="inlineStr">
        <is>
          <t>二月初二龙抬头资料</t>
        </is>
      </c>
      <c r="B1858" s="2" t="str">
        <f>=HYPERLINK("https://pan.quark.cn/s/364bb39bf413", "https://pan.quark.cn/s/364bb39bf413")</f>
        <v>https://pan.quark.cn/s/364bb39bf413</v>
      </c>
      <c r="C1858" t="inlineStr">
        <is>
          <t>14.1MB</t>
        </is>
      </c>
      <c r="D1858" t="inlineStr">
        <is>
          <t>/二月初二/龙抬头/传统节日/文化习俗/宝妈/家长群体/学龄儿童家长</t>
        </is>
      </c>
      <c r="E1858" t="inlineStr">
        <is>
          <t>https://dcn8qexvg13r.feishu.cn/share/base/query/shrcnMqxwwRkV3NUIUxPeab3sec</t>
        </is>
      </c>
      <c r="F1858" t="inlineStr">
        <is>
          <t>请添加微信：k846211</t>
        </is>
      </c>
      <c r="G1858" t="inlineStr">
        <is>
          <t>2026-03-15</t>
        </is>
      </c>
    </row>
    <row r="1859" ht="25.5" customHeight="1">
      <c r="A1859" t="inlineStr">
        <is>
          <t>26春《实验班提优训练》语文人教版1-6年级下册</t>
        </is>
      </c>
      <c r="B1859" s="2" t="str">
        <f>=HYPERLINK("https://pan.quark.cn/s/82310429c94d", "https://pan.quark.cn/s/82310429c94d")</f>
        <v>https://pan.quark.cn/s/82310429c94d</v>
      </c>
      <c r="C1859" t="inlineStr">
        <is>
          <t>2.5GB</t>
        </is>
      </c>
      <c r="D1859" t="inlineStr">
        <is>
          <t>/实验班提优训练/语文/人教版/1-6年级下册/K12/学龄儿童家长</t>
        </is>
      </c>
      <c r="E1859" t="inlineStr">
        <is>
          <t>https://dcn8qexvg13r.feishu.cn/share/base/query/shrcnMqxwwRkV3NUIUxPeab3sec</t>
        </is>
      </c>
      <c r="F1859" t="inlineStr">
        <is>
          <t>请添加微信：k846211</t>
        </is>
      </c>
      <c r="G1859" t="inlineStr">
        <is>
          <t>2026-03-15</t>
        </is>
      </c>
    </row>
    <row r="1860" ht="25.5" customHeight="1">
      <c r="A1860" t="inlineStr">
        <is>
          <t>乔智大叔热门资料</t>
        </is>
      </c>
      <c r="B1860" s="2" t="str">
        <f>=HYPERLINK("https://pan.quark.cn/s/9396e37112ba", "https://pan.quark.cn/s/9396e37112ba")</f>
        <v>https://pan.quark.cn/s/9396e37112ba</v>
      </c>
      <c r="C1860" t="inlineStr">
        <is>
          <t>53.5MB</t>
        </is>
      </c>
      <c r="D1860" t="inlineStr">
        <is>
          <t>/乔智大叔/热门/宝妈/家长群体/育儿</t>
        </is>
      </c>
      <c r="E1860" t="inlineStr">
        <is>
          <t>https://dcn8qexvg13r.feishu.cn/share/base/query/shrcnMqxwwRkV3NUIUxPeab3sec</t>
        </is>
      </c>
      <c r="F1860" t="inlineStr">
        <is>
          <t>请添加微信：k846211</t>
        </is>
      </c>
      <c r="G1860" t="inlineStr">
        <is>
          <t>2026-03-15</t>
        </is>
      </c>
    </row>
    <row r="1861" ht="25.5" customHeight="1">
      <c r="A1861" t="inlineStr">
        <is>
          <t>变形金刚系列七部合集 4K</t>
        </is>
      </c>
      <c r="B1861" s="2" t="str">
        <f>=HYPERLINK("https://pan.quark.cn/s/b3ee59d55423", "https://pan.quark.cn/s/b3ee59d55423")</f>
        <v>https://pan.quark.cn/s/b3ee59d55423</v>
      </c>
      <c r="C1861" t="inlineStr">
        <is>
          <t>338.6GB</t>
        </is>
      </c>
      <c r="D1861" t="inlineStr">
        <is>
          <t>/变形金刚/4K/电影/科幻/动作/电影/动漫</t>
        </is>
      </c>
      <c r="E1861" t="inlineStr">
        <is>
          <t>https://dcn8qexvg13r.feishu.cn/share/base/query/shrcnMqxwwRkV3NUIUxPeab3sec</t>
        </is>
      </c>
      <c r="F1861" t="inlineStr">
        <is>
          <t>请添加微信：k846211</t>
        </is>
      </c>
      <c r="G1861" t="inlineStr">
        <is>
          <t>2026-03-15</t>
        </is>
      </c>
    </row>
    <row r="1862" ht="25.5" customHeight="1">
      <c r="A1862" t="inlineStr">
        <is>
          <t>27考研</t>
        </is>
      </c>
      <c r="B1862" s="2" t="str">
        <f>=HYPERLINK("https://pan.quark.cn/s/e66c4cd4e385", "https://pan.quark.cn/s/e66c4cd4e385")</f>
        <v>https://pan.quark.cn/s/e66c4cd4e385</v>
      </c>
      <c r="C1862" t="inlineStr">
        <is>
          <t>3.0TB</t>
        </is>
      </c>
      <c r="D1862" t="inlineStr">
        <is>
          <t>/2027考研/考研备考/考试辅导/考研党</t>
        </is>
      </c>
      <c r="E1862" t="inlineStr">
        <is>
          <t>https://dcn8qexvg13r.feishu.cn/share/base/query/shrcnMqxwwRkV3NUIUxPeab3sec</t>
        </is>
      </c>
      <c r="F1862" t="inlineStr">
        <is>
          <t>请添加微信：k846211</t>
        </is>
      </c>
      <c r="G1862" t="inlineStr">
        <is>
          <t>2026-03-21</t>
        </is>
      </c>
    </row>
    <row r="1863" ht="25.5" customHeight="1">
      <c r="A1863" t="inlineStr">
        <is>
          <t>内部 囚禁 Inside 官方中文最终收藏版 v20161123+手动存档+隐藏结局前关卡存档 支持手柄</t>
        </is>
      </c>
      <c r="B1863" s="2" t="str">
        <f>=HYPERLINK("https://pan.quark.cn/s/748727905743", "https://pan.quark.cn/s/748727905743")</f>
        <v>https://pan.quark.cn/s/748727905743</v>
      </c>
      <c r="C1863" t="inlineStr">
        <is>
          <t>40.2MB</t>
        </is>
      </c>
      <c r="D1863" t="inlineStr">
        <is>
          <t>/Inside/游戏/中文收藏版/存档/游戏</t>
        </is>
      </c>
      <c r="E1863" t="inlineStr">
        <is>
          <t>https://dcn8qexvg13r.feishu.cn/share/base/query/shrcnMqxwwRkV3NUIUxPeab3sec</t>
        </is>
      </c>
      <c r="F1863" t="inlineStr">
        <is>
          <t>请添加微信：k846211</t>
        </is>
      </c>
      <c r="G1863" t="inlineStr">
        <is>
          <t>2026-03-21</t>
        </is>
      </c>
    </row>
    <row r="1864" ht="25.5" customHeight="1">
      <c r="A1864" t="inlineStr">
        <is>
          <t>中国工厂</t>
        </is>
      </c>
      <c r="B1864" s="2" t="str">
        <f>=HYPERLINK("https://pan.quark.cn/s/6955ad9e5278", "https://pan.quark.cn/s/6955ad9e5278")</f>
        <v>https://pan.quark.cn/s/6955ad9e5278</v>
      </c>
      <c r="C1864" t="inlineStr">
        <is>
          <t>2.8GB</t>
        </is>
      </c>
      <c r="D1864" t="inlineStr">
        <is>
          <t>/中国工厂/工业生产/制造业/纪录片/特定行业从业者/管理者</t>
        </is>
      </c>
      <c r="E1864" t="inlineStr">
        <is>
          <t>https://dcn8qexvg13r.feishu.cn/share/base/query/shrcnMqxwwRkV3NUIUxPeab3sec</t>
        </is>
      </c>
      <c r="F1864" t="inlineStr">
        <is>
          <t>请添加微信：k846211</t>
        </is>
      </c>
      <c r="G1864" t="inlineStr">
        <is>
          <t>2026-03-15</t>
        </is>
      </c>
    </row>
    <row r="1865" ht="25.5" customHeight="1">
      <c r="A1865" t="inlineStr">
        <is>
          <t>🔥26春1-6年级下册语文《仿写句子读背版》(1)(2)</t>
        </is>
      </c>
      <c r="B1865" s="2" t="str">
        <f>=HYPERLINK("https://pan.quark.cn/s/776b3802bf7a", "https://pan.quark.cn/s/776b3802bf7a")</f>
        <v>https://pan.quark.cn/s/776b3802bf7a</v>
      </c>
      <c r="C1865" t="inlineStr">
        <is>
          <t>29.0MB</t>
        </is>
      </c>
      <c r="D1865" t="inlineStr">
        <is>
          <t>/小学语文/仿写句子/读背版/1-6年级/学龄儿童家长/K12</t>
        </is>
      </c>
      <c r="E1865" t="inlineStr">
        <is>
          <t>https://dcn8qexvg13r.feishu.cn/share/base/query/shrcnMqxwwRkV3NUIUxPeab3sec</t>
        </is>
      </c>
      <c r="F1865" t="inlineStr">
        <is>
          <t>请添加微信：k846211</t>
        </is>
      </c>
      <c r="G1865" t="inlineStr">
        <is>
          <t>2026-03-15</t>
        </is>
      </c>
    </row>
    <row r="1866" ht="25.5" customHeight="1">
      <c r="A1866" t="inlineStr">
        <is>
          <t>小学数学1年级下册《每天10道应用题强化训练》.pdf</t>
        </is>
      </c>
      <c r="B1866" s="2" t="str">
        <f>=HYPERLINK("https://pan.quark.cn/s/dae05f25b764", "https://pan.quark.cn/s/dae05f25b764")</f>
        <v>https://pan.quark.cn/s/dae05f25b764</v>
      </c>
      <c r="C1866" t="inlineStr">
        <is>
          <t>73.6MB</t>
        </is>
      </c>
      <c r="D1866" t="inlineStr">
        <is>
          <t>/小学数学/应用题/强化训练/1年级下册/K12/学龄儿童家长</t>
        </is>
      </c>
      <c r="E1866" t="inlineStr">
        <is>
          <t>https://dcn8qexvg13r.feishu.cn/share/base/query/shrcnMqxwwRkV3NUIUxPeab3sec</t>
        </is>
      </c>
      <c r="F1866" t="inlineStr">
        <is>
          <t>请添加微信：k846211</t>
        </is>
      </c>
      <c r="G1866" t="inlineStr">
        <is>
          <t>2026-03-15</t>
        </is>
      </c>
    </row>
    <row r="1867" ht="25.5" customHeight="1">
      <c r="A1867" t="inlineStr">
        <is>
          <t>小学数学2年级下册《每天10道应用题强化训练》.pdf</t>
        </is>
      </c>
      <c r="B1867" s="2" t="str">
        <f>=HYPERLINK("https://pan.quark.cn/s/0099b8a360b4", "https://pan.quark.cn/s/0099b8a360b4")</f>
        <v>https://pan.quark.cn/s/0099b8a360b4</v>
      </c>
      <c r="C1867" t="inlineStr">
        <is>
          <t>95.4MB</t>
        </is>
      </c>
      <c r="D1867" t="inlineStr">
        <is>
          <t>/小学数学/应用题/强化训练/二年级下册/K12/学龄儿童家长</t>
        </is>
      </c>
      <c r="E1867" t="inlineStr">
        <is>
          <t>https://dcn8qexvg13r.feishu.cn/share/base/query/shrcnMqxwwRkV3NUIUxPeab3sec</t>
        </is>
      </c>
      <c r="F1867" t="inlineStr">
        <is>
          <t>请添加微信：k846211</t>
        </is>
      </c>
      <c r="G1867" t="inlineStr">
        <is>
          <t>2026-03-15</t>
        </is>
      </c>
    </row>
    <row r="1868" ht="25.5" customHeight="1">
      <c r="A1868" t="inlineStr">
        <is>
          <t>小学数学3年级下册《每天10道应用题强化训练》.pdf</t>
        </is>
      </c>
      <c r="B1868" s="2" t="str">
        <f>=HYPERLINK("https://pan.quark.cn/s/117f8cf79e98", "https://pan.quark.cn/s/117f8cf79e98")</f>
        <v>https://pan.quark.cn/s/117f8cf79e98</v>
      </c>
      <c r="C1868" t="inlineStr">
        <is>
          <t>76.5MB</t>
        </is>
      </c>
      <c r="D1868" t="inlineStr">
        <is>
          <t>/小学数学/应用题/三年级下册/强化训练/K12/学龄儿童家长</t>
        </is>
      </c>
      <c r="E1868" t="inlineStr">
        <is>
          <t>https://dcn8qexvg13r.feishu.cn/share/base/query/shrcnMqxwwRkV3NUIUxPeab3sec</t>
        </is>
      </c>
      <c r="F1868" t="inlineStr">
        <is>
          <t>请添加微信：k846211</t>
        </is>
      </c>
      <c r="G1868" t="inlineStr">
        <is>
          <t>2026-03-15</t>
        </is>
      </c>
    </row>
    <row r="1869" ht="25.5" customHeight="1">
      <c r="A1869" t="inlineStr">
        <is>
          <t>小学数学4年级下册《每天10道应用题强化训练》.pdf</t>
        </is>
      </c>
      <c r="B1869" s="2" t="str">
        <f>=HYPERLINK("https://pan.quark.cn/s/554829aada59", "https://pan.quark.cn/s/554829aada59")</f>
        <v>https://pan.quark.cn/s/554829aada59</v>
      </c>
      <c r="C1869" t="inlineStr">
        <is>
          <t>82.9MB</t>
        </is>
      </c>
      <c r="D1869" t="inlineStr">
        <is>
          <t>/小学数学/应用题/强化训练/4年级下册/K12/学龄儿童家长</t>
        </is>
      </c>
      <c r="E1869" t="inlineStr">
        <is>
          <t>https://dcn8qexvg13r.feishu.cn/share/base/query/shrcnMqxwwRkV3NUIUxPeab3sec</t>
        </is>
      </c>
      <c r="F1869" t="inlineStr">
        <is>
          <t>请添加微信：k846211</t>
        </is>
      </c>
      <c r="G1869" t="inlineStr">
        <is>
          <t>2026-03-15</t>
        </is>
      </c>
    </row>
    <row r="1870" ht="25.5" customHeight="1">
      <c r="A1870" t="inlineStr">
        <is>
          <t>小学数学5年级下册《每天10道应用题强化训练》.pdf</t>
        </is>
      </c>
      <c r="B1870" s="2" t="str">
        <f>=HYPERLINK("https://pan.quark.cn/s/3f6165e77935", "https://pan.quark.cn/s/3f6165e77935")</f>
        <v>https://pan.quark.cn/s/3f6165e77935</v>
      </c>
      <c r="C1870" t="inlineStr">
        <is>
          <t>72.1MB</t>
        </is>
      </c>
      <c r="D1870" t="inlineStr">
        <is>
          <t>/小学数学/应用题/强化训练/五年级下册/K12/学龄儿童家长</t>
        </is>
      </c>
      <c r="E1870" t="inlineStr">
        <is>
          <t>https://dcn8qexvg13r.feishu.cn/share/base/query/shrcnMqxwwRkV3NUIUxPeab3sec</t>
        </is>
      </c>
      <c r="F1870" t="inlineStr">
        <is>
          <t>请添加微信：k846211</t>
        </is>
      </c>
      <c r="G1870" t="inlineStr">
        <is>
          <t>2026-03-15</t>
        </is>
      </c>
    </row>
    <row r="1871" ht="25.5" customHeight="1">
      <c r="A1871" t="inlineStr">
        <is>
          <t>小学数学6年级下册《每天10道应用题强化训练》.pdf</t>
        </is>
      </c>
      <c r="B1871" s="2" t="str">
        <f>=HYPERLINK("https://pan.quark.cn/s/9c1b56881099", "https://pan.quark.cn/s/9c1b56881099")</f>
        <v>https://pan.quark.cn/s/9c1b56881099</v>
      </c>
      <c r="C1871" t="inlineStr">
        <is>
          <t>111.5MB</t>
        </is>
      </c>
      <c r="D1871" t="inlineStr">
        <is>
          <t>/小学数学/应用题/强化训练/6年级下册/K12/学龄儿童家长</t>
        </is>
      </c>
      <c r="E1871" t="inlineStr">
        <is>
          <t>https://dcn8qexvg13r.feishu.cn/share/base/query/shrcnMqxwwRkV3NUIUxPeab3sec</t>
        </is>
      </c>
      <c r="F1871" t="inlineStr">
        <is>
          <t>请添加微信：k846211</t>
        </is>
      </c>
      <c r="G1871" t="inlineStr">
        <is>
          <t>2026-03-15</t>
        </is>
      </c>
    </row>
    <row r="1872" ht="25.5" customHeight="1">
      <c r="A1872" t="inlineStr">
        <is>
          <t>26春一下语文同步课本一课一练(36页) .pdf</t>
        </is>
      </c>
      <c r="B1872" s="2" t="str">
        <f>=HYPERLINK("https://pan.quark.cn/s/11a2388e9f21", "https://pan.quark.cn/s/11a2388e9f21")</f>
        <v>https://pan.quark.cn/s/11a2388e9f21</v>
      </c>
      <c r="C1872" t="inlineStr">
        <is>
          <t>33.8MB</t>
        </is>
      </c>
      <c r="D1872" t="inlineStr">
        <is>
          <t>/一年级下册语文/同步练习/一课一练/语文练习/K12/学龄儿童家长</t>
        </is>
      </c>
      <c r="E1872" t="inlineStr">
        <is>
          <t>https://dcn8qexvg13r.feishu.cn/share/base/query/shrcnMqxwwRkV3NUIUxPeab3sec</t>
        </is>
      </c>
      <c r="F1872" t="inlineStr">
        <is>
          <t>请添加微信：k846211</t>
        </is>
      </c>
      <c r="G1872" t="inlineStr">
        <is>
          <t>2026-03-15</t>
        </is>
      </c>
    </row>
    <row r="1873" ht="25.5" customHeight="1">
      <c r="A1873" t="inlineStr">
        <is>
          <t>26春二下语文同步练习每课一练（含答案47页）.pdf</t>
        </is>
      </c>
      <c r="B1873" s="2" t="str">
        <f>=HYPERLINK("https://pan.quark.cn/s/d9782c968ec1", "https://pan.quark.cn/s/d9782c968ec1")</f>
        <v>https://pan.quark.cn/s/d9782c968ec1</v>
      </c>
      <c r="C1873" t="inlineStr">
        <is>
          <t>2.9MB</t>
        </is>
      </c>
      <c r="D1873" t="inlineStr">
        <is>
          <t>/语文/同步练习/每课一练/答案/学龄儿童家长/K12</t>
        </is>
      </c>
      <c r="E1873" t="inlineStr">
        <is>
          <t>https://dcn8qexvg13r.feishu.cn/share/base/query/shrcnMqxwwRkV3NUIUxPeab3sec</t>
        </is>
      </c>
      <c r="F1873" t="inlineStr">
        <is>
          <t>请添加微信：k846211</t>
        </is>
      </c>
      <c r="G1873" t="inlineStr">
        <is>
          <t>2026-03-15</t>
        </is>
      </c>
    </row>
    <row r="1874" ht="25.5" customHeight="1">
      <c r="A1874" t="inlineStr">
        <is>
          <t>26春三下语文1-8单元默写通关训练（含答案32页）.pdf</t>
        </is>
      </c>
      <c r="B1874" s="2" t="str">
        <f>=HYPERLINK("https://pan.quark.cn/s/eb35bdbc2737", "https://pan.quark.cn/s/eb35bdbc2737")</f>
        <v>https://pan.quark.cn/s/eb35bdbc2737</v>
      </c>
      <c r="C1874" t="inlineStr">
        <is>
          <t>14.9MB</t>
        </is>
      </c>
      <c r="D1874" t="inlineStr">
        <is>
          <t>/小学语文/三年级下册/默写训练/单元通关/K12/学龄儿童家长</t>
        </is>
      </c>
      <c r="E1874" t="inlineStr">
        <is>
          <t>https://dcn8qexvg13r.feishu.cn/share/base/query/shrcnMqxwwRkV3NUIUxPeab3sec</t>
        </is>
      </c>
      <c r="F1874" t="inlineStr">
        <is>
          <t>请添加微信：k846211</t>
        </is>
      </c>
      <c r="G1874" t="inlineStr">
        <is>
          <t>2026-03-15</t>
        </is>
      </c>
    </row>
    <row r="1875" ht="25.5" customHeight="1">
      <c r="A1875" t="inlineStr">
        <is>
          <t>教辅0322</t>
        </is>
      </c>
      <c r="B1875" s="2" t="str">
        <f>=HYPERLINK("https://pan.quark.cn/s/1719e87c632d", "https://pan.quark.cn/s/1719e87c632d")</f>
        <v>https://pan.quark.cn/s/1719e87c632d</v>
      </c>
      <c r="C1875" t="inlineStr">
        <is>
          <t>876.3GB</t>
        </is>
      </c>
      <c r="D1875" t="inlineStr">
        <is>
          <t>/教辅/学习辅导/K12</t>
        </is>
      </c>
      <c r="E1875" t="inlineStr">
        <is>
          <t>https://dcn8qexvg13r.feishu.cn/share/base/query/shrcnMqxwwRkV3NUIUxPeab3sec</t>
        </is>
      </c>
      <c r="F1875" t="inlineStr">
        <is>
          <t>请添加微信：k846211</t>
        </is>
      </c>
      <c r="G1875" t="inlineStr">
        <is>
          <t>2026-03-15</t>
        </is>
      </c>
    </row>
    <row r="1876" ht="25.5" customHeight="1">
      <c r="A1876" t="inlineStr">
        <is>
          <t>2026年度得到·沈祖芸全球教育报告</t>
        </is>
      </c>
      <c r="B1876" s="2" t="str">
        <f>=HYPERLINK("https://pan.quark.cn/s/c00be19b8c65", "https://pan.quark.cn/s/c00be19b8c65")</f>
        <v>https://pan.quark.cn/s/c00be19b8c65</v>
      </c>
      <c r="C1876" t="inlineStr">
        <is>
          <t>21.4MB</t>
        </is>
      </c>
      <c r="D1876" t="inlineStr">
        <is>
          <t>/教育报告/沈祖芸/全球教育/年度报告/管理者/特定行业从业者</t>
        </is>
      </c>
      <c r="E1876" t="inlineStr">
        <is>
          <t>https://dcn8qexvg13r.feishu.cn/share/base/query/shrcnMqxwwRkV3NUIUxPeab3sec</t>
        </is>
      </c>
      <c r="F1876" t="inlineStr">
        <is>
          <t>请添加微信：k846211</t>
        </is>
      </c>
      <c r="G1876" t="inlineStr">
        <is>
          <t>2026-03-15</t>
        </is>
      </c>
    </row>
    <row r="1877" ht="25.5" customHeight="1">
      <c r="A1877" t="inlineStr">
        <is>
          <t>69.PR秘传技：进阶剪辑的全方位攻略（完结）</t>
        </is>
      </c>
      <c r="B1877" s="2" t="str">
        <f>=HYPERLINK("https://pan.quark.cn/s/6af90566c3e7", "https://pan.quark.cn/s/6af90566c3e7")</f>
        <v>https://pan.quark.cn/s/6af90566c3e7</v>
      </c>
      <c r="C1877" t="inlineStr">
        <is>
          <t>1.5GB</t>
        </is>
      </c>
      <c r="D1877" t="inlineStr">
        <is>
          <t>/PR/进阶剪辑/剪辑攻略/剪辑技巧/特定行业从业者/白领</t>
        </is>
      </c>
      <c r="E1877" t="inlineStr">
        <is>
          <t>https://dcn8qexvg13r.feishu.cn/share/base/query/shrcnMqxwwRkV3NUIUxPeab3sec</t>
        </is>
      </c>
      <c r="F1877" t="inlineStr">
        <is>
          <t>请添加微信：k846211</t>
        </is>
      </c>
      <c r="G1877" t="inlineStr">
        <is>
          <t>2026-03-15</t>
        </is>
      </c>
    </row>
    <row r="1878" ht="25.5" customHeight="1">
      <c r="A1878" t="inlineStr">
        <is>
          <t>32.吴金闪教授：量子力学无基础入门（完结）</t>
        </is>
      </c>
      <c r="B1878" s="2" t="str">
        <f>=HYPERLINK("https://pan.quark.cn/s/387c647b6c87", "https://pan.quark.cn/s/387c647b6c87")</f>
        <v>https://pan.quark.cn/s/387c647b6c87</v>
      </c>
      <c r="C1878" t="inlineStr">
        <is>
          <t>3.2GB</t>
        </is>
      </c>
      <c r="D1878" t="inlineStr">
        <is>
          <t>/量子力学/无基础入门/吴金闪/教授课程/大学生/技能入门</t>
        </is>
      </c>
      <c r="E1878" t="inlineStr">
        <is>
          <t>https://dcn8qexvg13r.feishu.cn/share/base/query/shrcnMqxwwRkV3NUIUxPeab3sec</t>
        </is>
      </c>
      <c r="F1878" t="inlineStr">
        <is>
          <t>请添加微信：k846211</t>
        </is>
      </c>
      <c r="G1878" t="inlineStr">
        <is>
          <t>2026-03-15</t>
        </is>
      </c>
    </row>
    <row r="1879" ht="25.5" customHeight="1">
      <c r="A1879" t="inlineStr">
        <is>
          <t>a136.V叔的钢琴基础入门课（完结）</t>
        </is>
      </c>
      <c r="B1879" s="2" t="str">
        <f>=HYPERLINK("https://pan.quark.cn/s/478f86fac81e", "https://pan.quark.cn/s/478f86fac81e")</f>
        <v>https://pan.quark.cn/s/478f86fac81e</v>
      </c>
      <c r="C1879" t="inlineStr">
        <is>
          <t>1.5GB</t>
        </is>
      </c>
      <c r="D1879" t="inlineStr">
        <is>
          <t>/钢琴/基础入门/课程/乐器/技能入门</t>
        </is>
      </c>
      <c r="E1879" t="inlineStr">
        <is>
          <t>https://dcn8qexvg13r.feishu.cn/share/base/query/shrcnMqxwwRkV3NUIUxPeab3sec</t>
        </is>
      </c>
      <c r="F1879" t="inlineStr">
        <is>
          <t>请添加微信：k846211</t>
        </is>
      </c>
      <c r="G1879" t="inlineStr">
        <is>
          <t>2026-03-15</t>
        </is>
      </c>
    </row>
    <row r="1880" ht="25.5" customHeight="1">
      <c r="A1880" t="inlineStr">
        <is>
          <t>a141.李凯教授精读《史记》（完结）</t>
        </is>
      </c>
      <c r="B1880" s="2" t="str">
        <f>=HYPERLINK("https://pan.quark.cn/s/cfa72936b4f8", "https://pan.quark.cn/s/cfa72936b4f8")</f>
        <v>https://pan.quark.cn/s/cfa72936b4f8</v>
      </c>
      <c r="C1880" t="inlineStr">
        <is>
          <t>3.3GB</t>
        </is>
      </c>
      <c r="D1880" t="inlineStr">
        <is>
          <t>/史记/精读/教授讲解/历史研读/大学生/考研/考公/考证党</t>
        </is>
      </c>
      <c r="E1880" t="inlineStr">
        <is>
          <t>https://dcn8qexvg13r.feishu.cn/share/base/query/shrcnMqxwwRkV3NUIUxPeab3sec</t>
        </is>
      </c>
      <c r="F1880" t="inlineStr">
        <is>
          <t>请添加微信：k846211</t>
        </is>
      </c>
      <c r="G1880" t="inlineStr">
        <is>
          <t>2026-03-15</t>
        </is>
      </c>
    </row>
    <row r="1881" ht="25.5" customHeight="1">
      <c r="A1881" t="inlineStr">
        <is>
          <t>98.陈嘉映教授：从哲学到人生（完结）</t>
        </is>
      </c>
      <c r="B1881" s="2" t="str">
        <f>=HYPERLINK("https://pan.quark.cn/s/1e4136c84193", "https://pan.quark.cn/s/1e4136c84193")</f>
        <v>https://pan.quark.cn/s/1e4136c84193</v>
      </c>
      <c r="C1881" t="inlineStr">
        <is>
          <t>1.3GB</t>
        </is>
      </c>
      <c r="D1881" t="inlineStr">
        <is>
          <t>/哲学/人生/陈嘉映/讲座/大学生/白领</t>
        </is>
      </c>
      <c r="E1881" t="inlineStr">
        <is>
          <t>https://dcn8qexvg13r.feishu.cn/share/base/query/shrcnMqxwwRkV3NUIUxPeab3sec</t>
        </is>
      </c>
      <c r="F1881" t="inlineStr">
        <is>
          <t>请添加微信：k846211</t>
        </is>
      </c>
      <c r="G1881" t="inlineStr">
        <is>
          <t>2026-03-15</t>
        </is>
      </c>
    </row>
    <row r="1882" ht="25.5" customHeight="1">
      <c r="A1882" t="inlineStr">
        <is>
          <t>【PPT模板】节日精选百套圣诞PPT</t>
        </is>
      </c>
      <c r="B1882" s="2" t="str">
        <f>=HYPERLINK("https://pan.quark.cn/s/236758be6dbb", "https://pan.quark.cn/s/236758be6dbb")</f>
        <v>https://pan.quark.cn/s/236758be6dbb</v>
      </c>
      <c r="C1882" t="inlineStr">
        <is>
          <t>1.7GB</t>
        </is>
      </c>
      <c r="D1882" t="inlineStr">
        <is>
          <t>/圣诞/节日/PPT模板/精选/白领/管理者</t>
        </is>
      </c>
      <c r="E1882" t="inlineStr">
        <is>
          <t>https://dcn8qexvg13r.feishu.cn/share/base/query/shrcnMqxwwRkV3NUIUxPeab3sec</t>
        </is>
      </c>
      <c r="F1882" t="inlineStr">
        <is>
          <t>请添加微信：k846211</t>
        </is>
      </c>
      <c r="G1882" t="inlineStr">
        <is>
          <t>2026-03-15</t>
        </is>
      </c>
    </row>
    <row r="1883" ht="25.5" customHeight="1">
      <c r="A1883" t="inlineStr">
        <is>
          <t>围棋象棋教程教学合集</t>
        </is>
      </c>
      <c r="B1883" s="2" t="str">
        <f>=HYPERLINK("https://pan.quark.cn/s/88b8a3f538ae", "https://pan.quark.cn/s/88b8a3f538ae")</f>
        <v>https://pan.quark.cn/s/88b8a3f538ae</v>
      </c>
      <c r="C1883" t="inlineStr">
        <is>
          <t>29.0GB</t>
        </is>
      </c>
      <c r="D1883" t="inlineStr">
        <is>
          <t>/围棋/象棋/教程/教学/技能入门</t>
        </is>
      </c>
      <c r="E1883" t="inlineStr">
        <is>
          <t>https://dcn8qexvg13r.feishu.cn/share/base/query/shrcnMqxwwRkV3NUIUxPeab3sec</t>
        </is>
      </c>
      <c r="F1883" t="inlineStr">
        <is>
          <t>请添加微信：k846211</t>
        </is>
      </c>
      <c r="G1883" t="inlineStr">
        <is>
          <t>2026-03-15</t>
        </is>
      </c>
    </row>
    <row r="1884" ht="25.5" customHeight="1">
      <c r="A1884" t="inlineStr">
        <is>
          <t>7-9年级全科目《知识点大全》</t>
        </is>
      </c>
      <c r="B1884" s="2" t="str">
        <f>=HYPERLINK("https://pan.quark.cn/s/0014c9a3815c", "https://pan.quark.cn/s/0014c9a3815c")</f>
        <v>https://pan.quark.cn/s/0014c9a3815c</v>
      </c>
      <c r="C1884" t="inlineStr">
        <is>
          <t>726.2MB</t>
        </is>
      </c>
      <c r="D1884" t="inlineStr">
        <is>
          <t>7-9年级/全科目/知识点/学习资料/K12/学龄儿童家长</t>
        </is>
      </c>
      <c r="E1884" t="inlineStr">
        <is>
          <t>https://dcn8qexvg13r.feishu.cn/share/base/query/shrcnMqxwwRkV3NUIUxPeab3sec</t>
        </is>
      </c>
      <c r="F1884" t="inlineStr">
        <is>
          <t>请添加微信：k846211</t>
        </is>
      </c>
      <c r="G1884" t="inlineStr">
        <is>
          <t>2026-03-15</t>
        </is>
      </c>
    </row>
    <row r="1885" ht="25.5" customHeight="1">
      <c r="A1885" t="inlineStr">
        <is>
          <t>豪氏象棋教程</t>
        </is>
      </c>
      <c r="B1885" s="2" t="str">
        <f>=HYPERLINK("https://pan.quark.cn/s/755fb815a589", "https://pan.quark.cn/s/755fb815a589")</f>
        <v>https://pan.quark.cn/s/755fb815a589</v>
      </c>
      <c r="C1885" t="inlineStr">
        <is>
          <t>6.6GB</t>
        </is>
      </c>
      <c r="D1885" t="inlineStr">
        <is>
          <t>/象棋/教程/棋类教学/技能入门/其他</t>
        </is>
      </c>
      <c r="E1885" t="inlineStr">
        <is>
          <t>https://dcn8qexvg13r.feishu.cn/share/base/query/shrcnMqxwwRkV3NUIUxPeab3sec</t>
        </is>
      </c>
      <c r="F1885" t="inlineStr">
        <is>
          <t>请添加微信：k846211</t>
        </is>
      </c>
      <c r="G1885" t="inlineStr">
        <is>
          <t>2026-03-15</t>
        </is>
      </c>
    </row>
    <row r="1886" ht="25.5" customHeight="1">
      <c r="A1886" t="inlineStr">
        <is>
          <t>【高情商管理】沟通技巧课 42集全</t>
        </is>
      </c>
      <c r="B1886" s="2" t="str">
        <f>=HYPERLINK("https://pan.quark.cn/s/346cd4c79983", "https://pan.quark.cn/s/346cd4c79983")</f>
        <v>https://pan.quark.cn/s/346cd4c79983</v>
      </c>
      <c r="C1886" t="inlineStr">
        <is>
          <t>7.0GB</t>
        </is>
      </c>
      <c r="D1886" t="inlineStr">
        <is>
          <t>/高情商管理/沟通技巧/课程/管理者</t>
        </is>
      </c>
      <c r="E1886" t="inlineStr">
        <is>
          <t>https://dcn8qexvg13r.feishu.cn/share/base/query/shrcnMqxwwRkV3NUIUxPeab3sec</t>
        </is>
      </c>
      <c r="F1886" t="inlineStr">
        <is>
          <t>请添加微信：k846211</t>
        </is>
      </c>
      <c r="G1886" t="inlineStr">
        <is>
          <t>2026-03-15</t>
        </is>
      </c>
    </row>
    <row r="1887" ht="25.5" customHeight="1">
      <c r="A1887" t="inlineStr">
        <is>
          <t>30天心理学训练营</t>
        </is>
      </c>
      <c r="B1887" s="2" t="str">
        <f>=HYPERLINK("https://pan.quark.cn/s/e933ce032634", "https://pan.quark.cn/s/e933ce032634")</f>
        <v>https://pan.quark.cn/s/e933ce032634</v>
      </c>
      <c r="C1887" t="inlineStr">
        <is>
          <t>853.2MB</t>
        </is>
      </c>
      <c r="D1887" t="inlineStr">
        <is>
          <t>/心理学/训练营/30天/自我提升/白领/技能入门</t>
        </is>
      </c>
      <c r="E1887" t="inlineStr">
        <is>
          <t>https://dcn8qexvg13r.feishu.cn/share/base/query/shrcnMqxwwRkV3NUIUxPeab3sec</t>
        </is>
      </c>
      <c r="F1887" t="inlineStr">
        <is>
          <t>请添加微信：k846211</t>
        </is>
      </c>
      <c r="G1887" t="inlineStr">
        <is>
          <t>2026-03-15</t>
        </is>
      </c>
    </row>
    <row r="1888" ht="25.5" customHeight="1">
      <c r="A1888" t="inlineStr">
        <is>
          <t>刘谦第一课！零基础魔术教学(完结)</t>
        </is>
      </c>
      <c r="B1888" s="2" t="str">
        <f>=HYPERLINK("https://pan.quark.cn/s/47877a2c0c61", "https://pan.quark.cn/s/47877a2c0c61")</f>
        <v>https://pan.quark.cn/s/47877a2c0c61</v>
      </c>
      <c r="C1888" t="inlineStr">
        <is>
          <t>2.2GB</t>
        </is>
      </c>
      <c r="D1888" t="inlineStr">
        <is>
          <t>/刘谦/魔术教学/零基础/技能入门/</t>
        </is>
      </c>
      <c r="E1888" t="inlineStr">
        <is>
          <t>https://dcn8qexvg13r.feishu.cn/share/base/query/shrcnMqxwwRkV3NUIUxPeab3sec</t>
        </is>
      </c>
      <c r="F1888" t="inlineStr">
        <is>
          <t>请添加微信：k846211</t>
        </is>
      </c>
      <c r="G1888" t="inlineStr">
        <is>
          <t>2026-03-15</t>
        </is>
      </c>
    </row>
    <row r="1889" ht="25.5" customHeight="1">
      <c r="A1889" t="inlineStr">
        <is>
          <t>B站付费课程之傅佩荣详解《易经》64卦</t>
        </is>
      </c>
      <c r="B1889" s="2" t="str">
        <f>=HYPERLINK("https://pan.quark.cn/s/4216dbe8491e", "https://pan.quark.cn/s/4216dbe8491e")</f>
        <v>https://pan.quark.cn/s/4216dbe8491e</v>
      </c>
      <c r="C1889" t="inlineStr">
        <is>
          <t>1.1GB</t>
        </is>
      </c>
      <c r="D1889" t="inlineStr">
        <is>
          <t>/易经/傅佩荣/64卦详解/付费课程/白领/管理者</t>
        </is>
      </c>
      <c r="E1889" t="inlineStr">
        <is>
          <t>https://dcn8qexvg13r.feishu.cn/share/base/query/shrcnMqxwwRkV3NUIUxPeab3sec</t>
        </is>
      </c>
      <c r="F1889" t="inlineStr">
        <is>
          <t>请添加微信：k846211</t>
        </is>
      </c>
      <c r="G1889" t="inlineStr">
        <is>
          <t>2026-03-15</t>
        </is>
      </c>
    </row>
    <row r="1890" ht="25.5" customHeight="1">
      <c r="A1890" t="inlineStr">
        <is>
          <t>2026《樊登读书 (帆书) 》合集(2)</t>
        </is>
      </c>
      <c r="B1890" s="2" t="str">
        <f>=HYPERLINK("https://pan.quark.cn/s/c1ee6a65917a", "https://pan.quark.cn/s/c1ee6a65917a")</f>
        <v>https://pan.quark.cn/s/c1ee6a65917a</v>
      </c>
      <c r="C1890" t="inlineStr">
        <is>
          <t>4.4GB</t>
        </is>
      </c>
      <c r="D1890" t="inlineStr">
        <is>
          <t>/读书/知识分享/自我提升/帆书/白领/管理者</t>
        </is>
      </c>
      <c r="E1890" t="inlineStr">
        <is>
          <t>https://dcn8qexvg13r.feishu.cn/share/base/query/shrcnMqxwwRkV3NUIUxPeab3sec</t>
        </is>
      </c>
      <c r="F1890" t="inlineStr">
        <is>
          <t>请添加微信：k846211</t>
        </is>
      </c>
      <c r="G1890" t="inlineStr">
        <is>
          <t>2026-03-15</t>
        </is>
      </c>
    </row>
    <row r="1891" ht="25.5" customHeight="1">
      <c r="A1891" t="inlineStr">
        <is>
          <t>豆包AI赚钱手册.pdf</t>
        </is>
      </c>
      <c r="B1891" s="2" t="str">
        <f>=HYPERLINK("https://pan.quark.cn/s/efadae04a718", "https://pan.quark.cn/s/efadae04a718")</f>
        <v>https://pan.quark.cn/s/efadae04a718</v>
      </c>
      <c r="C1891" t="inlineStr">
        <is>
          <t>19.7MB</t>
        </is>
      </c>
      <c r="D1891" t="inlineStr">
        <is>
          <t>/AI/赚钱/手册/技能入门/白领/其他</t>
        </is>
      </c>
      <c r="E1891" t="inlineStr">
        <is>
          <t>https://dcn8qexvg13r.feishu.cn/share/base/query/shrcnMqxwwRkV3NUIUxPeab3sec</t>
        </is>
      </c>
      <c r="F1891" t="inlineStr">
        <is>
          <t>请添加微信：k846211</t>
        </is>
      </c>
      <c r="G1891" t="inlineStr">
        <is>
          <t>2026-03-15</t>
        </is>
      </c>
    </row>
    <row r="1892" ht="25.5" customHeight="1">
      <c r="A1892" t="inlineStr">
        <is>
          <t>学生必读文学经典</t>
        </is>
      </c>
      <c r="B1892" s="2" t="str">
        <f>=HYPERLINK("https://pan.quark.cn/s/bc732f600c68", "https://pan.quark.cn/s/bc732f600c68")</f>
        <v>https://pan.quark.cn/s/bc732f600c68</v>
      </c>
      <c r="C1892" t="inlineStr">
        <is>
          <t>5.6GB</t>
        </is>
      </c>
      <c r="D1892" t="inlineStr">
        <is>
          <t>/文学经典/学生读物/必读书目/K12/大学生</t>
        </is>
      </c>
      <c r="E1892" t="inlineStr">
        <is>
          <t>https://dcn8qexvg13r.feishu.cn/share/base/query/shrcnMqxwwRkV3NUIUxPeab3sec</t>
        </is>
      </c>
      <c r="F1892" t="inlineStr">
        <is>
          <t>请添加微信：k846211</t>
        </is>
      </c>
      <c r="G1892" t="inlineStr">
        <is>
          <t>2026-03-15</t>
        </is>
      </c>
    </row>
    <row r="1893" ht="25.5" customHeight="1">
      <c r="A1893" t="inlineStr">
        <is>
          <t>A12360. 量化投资策略：如何实现超额收益Alpha (量化投资与对冲基金丛书).B00VHQ8ECC.azw3</t>
        </is>
      </c>
      <c r="B1893" s="2" t="str">
        <f>=HYPERLINK("https://pan.quark.cn/s/67f158ebea8d", "https://pan.quark.cn/s/67f158ebea8d")</f>
        <v>https://pan.quark.cn/s/67f158ebea8d</v>
      </c>
      <c r="C1893" t="inlineStr">
        <is>
          <t>50.3MB</t>
        </is>
      </c>
      <c r="D1893" t="inlineStr">
        <is>
          <t>/量化投资/超额收益/Alpha/投资策略/特定行业从业者/管理者</t>
        </is>
      </c>
      <c r="E1893" t="inlineStr">
        <is>
          <t>https://dcn8qexvg13r.feishu.cn/share/base/query/shrcnMqxwwRkV3NUIUxPeab3sec</t>
        </is>
      </c>
      <c r="F1893" t="inlineStr">
        <is>
          <t>请添加微信：k846211</t>
        </is>
      </c>
      <c r="G1893" t="inlineStr">
        <is>
          <t>2026-03-15</t>
        </is>
      </c>
    </row>
    <row r="1894" ht="25.5" customHeight="1">
      <c r="A1894" t="inlineStr">
        <is>
          <t>《基本面量化投资：运用财务分析和量化策略获取超额收益(第2版)》</t>
        </is>
      </c>
      <c r="B1894" s="2" t="str">
        <f>=HYPERLINK("https://pan.quark.cn/s/5eb5353fc463", "https://pan.quark.cn/s/5eb5353fc463")</f>
        <v>https://pan.quark.cn/s/5eb5353fc463</v>
      </c>
      <c r="C1894" t="inlineStr">
        <is>
          <t>3.4MB</t>
        </is>
      </c>
      <c r="D1894" t="inlineStr">
        <is>
          <t>/基本面量化投资/财务分析/量化策略/超额收益/特定行业从业者/白领</t>
        </is>
      </c>
      <c r="E1894" t="inlineStr">
        <is>
          <t>https://dcn8qexvg13r.feishu.cn/share/base/query/shrcnMqxwwRkV3NUIUxPeab3sec</t>
        </is>
      </c>
      <c r="F1894" t="inlineStr">
        <is>
          <t>请添加微信：k846211</t>
        </is>
      </c>
      <c r="G1894" t="inlineStr">
        <is>
          <t>2026-03-15</t>
        </is>
      </c>
    </row>
    <row r="1895" ht="25.5" customHeight="1">
      <c r="A1895" t="inlineStr">
        <is>
          <t>张雪峰高考志愿填报课程(1)</t>
        </is>
      </c>
      <c r="B1895" s="2" t="str">
        <f>=HYPERLINK("https://pan.quark.cn/s/facb55ae6b15", "https://pan.quark.cn/s/facb55ae6b15")</f>
        <v>https://pan.quark.cn/s/facb55ae6b15</v>
      </c>
      <c r="C1895" t="inlineStr">
        <is>
          <t>48.8GB</t>
        </is>
      </c>
      <c r="D1895" t="inlineStr">
        <is>
          <t>/高考志愿填报/课程/升学规划/张雪峰/宝妈/家长群体/学龄儿童家长</t>
        </is>
      </c>
      <c r="E1895" t="inlineStr">
        <is>
          <t>https://dcn8qexvg13r.feishu.cn/share/base/query/shrcnMqxwwRkV3NUIUxPeab3sec</t>
        </is>
      </c>
      <c r="F1895" t="inlineStr">
        <is>
          <t>请添加微信：k846211</t>
        </is>
      </c>
      <c r="G1895" t="inlineStr">
        <is>
          <t>2026-03-15</t>
        </is>
      </c>
    </row>
    <row r="1896" ht="25.5" customHeight="1">
      <c r="A1896" t="inlineStr">
        <is>
          <t>张雪峰初中提分笔记</t>
        </is>
      </c>
      <c r="B1896" s="2" t="str">
        <f>=HYPERLINK("https://pan.quark.cn/s/71685ede4dab", "https://pan.quark.cn/s/71685ede4dab")</f>
        <v>https://pan.quark.cn/s/71685ede4dab</v>
      </c>
      <c r="C1896" t="inlineStr">
        <is>
          <t>1.8GB</t>
        </is>
      </c>
      <c r="D1896" t="inlineStr">
        <is>
          <t>/初中/提分/笔记/学习资料/K12/学龄儿童家长</t>
        </is>
      </c>
      <c r="E1896" t="inlineStr">
        <is>
          <t>https://dcn8qexvg13r.feishu.cn/share/base/query/shrcnMqxwwRkV3NUIUxPeab3sec</t>
        </is>
      </c>
      <c r="F1896" t="inlineStr">
        <is>
          <t>请添加微信：k846211</t>
        </is>
      </c>
      <c r="G1896" t="inlineStr">
        <is>
          <t>2026-03-15</t>
        </is>
      </c>
    </row>
    <row r="1897" ht="25.5" customHeight="1">
      <c r="A1897" t="inlineStr">
        <is>
          <t>张雪峰资源（合集目前志愿相关最全）</t>
        </is>
      </c>
      <c r="B1897" s="2" t="str">
        <f>=HYPERLINK("https://pan.quark.cn/s/a6f9f9dd7eac", "https://pan.quark.cn/s/a6f9f9dd7eac")</f>
        <v>https://pan.quark.cn/s/a6f9f9dd7eac</v>
      </c>
      <c r="C1897" t="inlineStr">
        <is>
          <t>153.8GB</t>
        </is>
      </c>
      <c r="D1897" t="inlineStr">
        <is>
          <t>/志愿填报/张雪峰/升学规划/考研/宝妈/家长群体/考研/考公/考证党</t>
        </is>
      </c>
      <c r="E1897" t="inlineStr">
        <is>
          <t>https://dcn8qexvg13r.feishu.cn/share/base/query/shrcnMqxwwRkV3NUIUxPeab3sec</t>
        </is>
      </c>
      <c r="F1897" t="inlineStr">
        <is>
          <t>请添加微信：k846211</t>
        </is>
      </c>
      <c r="G1897" t="inlineStr">
        <is>
          <t>2026-03-15</t>
        </is>
      </c>
    </row>
    <row r="1898" ht="25.5" customHeight="1">
      <c r="A1898" t="inlineStr">
        <is>
          <t>018.张雪峰高考志愿填报课程【新版】【点进去，分开保存，下载后使用】</t>
        </is>
      </c>
      <c r="B1898" s="2" t="str">
        <f>=HYPERLINK("https://pan.quark.cn/s/b73de4dbe8b3", "https://pan.quark.cn/s/b73de4dbe8b3")</f>
        <v>https://pan.quark.cn/s/b73de4dbe8b3</v>
      </c>
      <c r="C1898" t="inlineStr">
        <is>
          <t>106.2GB</t>
        </is>
      </c>
      <c r="D1898" t="inlineStr">
        <is>
          <t>/高考志愿填报/课程/张雪峰/新版/宝妈/家长群体/学龄儿童家长</t>
        </is>
      </c>
      <c r="E1898" t="inlineStr">
        <is>
          <t>https://dcn8qexvg13r.feishu.cn/share/base/query/shrcnMqxwwRkV3NUIUxPeab3sec</t>
        </is>
      </c>
      <c r="F1898" t="inlineStr">
        <is>
          <t>请添加微信：k846211</t>
        </is>
      </c>
      <c r="G1898" t="inlineStr">
        <is>
          <t>2026-03-15</t>
        </is>
      </c>
    </row>
    <row r="1899" ht="25.5" customHeight="1">
      <c r="A1899" t="inlineStr">
        <is>
          <t>张雪峰高考志愿填报视频版本二</t>
        </is>
      </c>
      <c r="B1899" s="2" t="str">
        <f>=HYPERLINK("https://pan.quark.cn/s/08a751d1f9a4", "https://pan.quark.cn/s/08a751d1f9a4")</f>
        <v>https://pan.quark.cn/s/08a751d1f9a4</v>
      </c>
      <c r="C1899" t="inlineStr">
        <is>
          <t>39.0GB</t>
        </is>
      </c>
      <c r="D1899" t="inlineStr">
        <is>
          <t>/高考志愿填报/视频/张雪峰/志愿指导/宝妈/家长群体/学龄儿童家长</t>
        </is>
      </c>
      <c r="E1899" t="inlineStr">
        <is>
          <t>https://dcn8qexvg13r.feishu.cn/share/base/query/shrcnMqxwwRkV3NUIUxPeab3sec</t>
        </is>
      </c>
      <c r="F1899" t="inlineStr">
        <is>
          <t>请添加微信：k846211</t>
        </is>
      </c>
      <c r="G1899" t="inlineStr">
        <is>
          <t>2026-03-15</t>
        </is>
      </c>
    </row>
    <row r="1900" ht="25.5" customHeight="1">
      <c r="A1900" t="inlineStr">
        <is>
          <t>50个新专业介绍</t>
        </is>
      </c>
      <c r="B1900" s="2" t="str">
        <f>=HYPERLINK("https://pan.quark.cn/s/9e541a38dfc2", "https://pan.quark.cn/s/9e541a38dfc2")</f>
        <v>https://pan.quark.cn/s/9e541a38dfc2</v>
      </c>
      <c r="C1900" t="inlineStr">
        <is>
          <t>6.8GB</t>
        </is>
      </c>
      <c r="D1900" t="inlineStr">
        <is>
          <t>/新专业/专业介绍/高等教育/大学生/考研/考公/考证党</t>
        </is>
      </c>
      <c r="E1900" t="inlineStr">
        <is>
          <t>https://dcn8qexvg13r.feishu.cn/share/base/query/shrcnMqxwwRkV3NUIUxPeab3sec</t>
        </is>
      </c>
      <c r="F1900" t="inlineStr">
        <is>
          <t>请添加微信：k846211</t>
        </is>
      </c>
      <c r="G1900" t="inlineStr">
        <is>
          <t>2026-03-15</t>
        </is>
      </c>
    </row>
    <row r="1901" ht="25.5" customHeight="1">
      <c r="A1901" t="inlineStr">
        <is>
          <t>五下苏教版科学【期末素质评估卷】.pdf</t>
        </is>
      </c>
      <c r="B1901" s="2" t="str">
        <f>=HYPERLINK("https://pan.quark.cn/s/04276599bcbc", "https://pan.quark.cn/s/04276599bcbc")</f>
        <v>https://pan.quark.cn/s/04276599bcbc</v>
      </c>
      <c r="C1901" t="inlineStr">
        <is>
          <t>1010.8KB</t>
        </is>
      </c>
      <c r="D1901" t="inlineStr">
        <is>
          <t>/五年级下册/苏教版/科学/期末评估/K12/学龄儿童家长</t>
        </is>
      </c>
      <c r="E1901" t="inlineStr">
        <is>
          <t>https://dcn8qexvg13r.feishu.cn/share/base/query/shrcnMqxwwRkV3NUIUxPeab3sec</t>
        </is>
      </c>
      <c r="F1901" t="inlineStr">
        <is>
          <t>请添加微信：k846211</t>
        </is>
      </c>
      <c r="G1901" t="inlineStr">
        <is>
          <t>2026-03-15</t>
        </is>
      </c>
    </row>
    <row r="1902" ht="25.5" customHeight="1">
      <c r="A1902" t="inlineStr">
        <is>
          <t>五下苏教版科学【（答题卡）期末素质评估卷】.pdf</t>
        </is>
      </c>
      <c r="B1902" s="2" t="str">
        <f>=HYPERLINK("https://pan.quark.cn/s/f5c502de9bfd", "https://pan.quark.cn/s/f5c502de9bfd")</f>
        <v>https://pan.quark.cn/s/f5c502de9bfd</v>
      </c>
      <c r="C1902" t="inlineStr">
        <is>
          <t>58.1KB</t>
        </is>
      </c>
      <c r="D1902" t="inlineStr">
        <is>
          <t>/科学/期末评估/答题卡/苏教版/K12/学龄儿童家长</t>
        </is>
      </c>
      <c r="E1902" t="inlineStr">
        <is>
          <t>https://dcn8qexvg13r.feishu.cn/share/base/query/shrcnMqxwwRkV3NUIUxPeab3sec</t>
        </is>
      </c>
      <c r="F1902" t="inlineStr">
        <is>
          <t>请添加微信：k846211</t>
        </is>
      </c>
      <c r="G1902" t="inlineStr">
        <is>
          <t>2026-03-15</t>
        </is>
      </c>
    </row>
    <row r="1903" ht="25.5" customHeight="1">
      <c r="A1903" t="inlineStr">
        <is>
          <t>五下苏教版科学【期末素质评估卷】.docx</t>
        </is>
      </c>
      <c r="B1903" s="2" t="str">
        <f>=HYPERLINK("https://pan.quark.cn/s/91e1f0a34823", "https://pan.quark.cn/s/91e1f0a34823")</f>
        <v>https://pan.quark.cn/s/91e1f0a34823</v>
      </c>
      <c r="C1903" t="inlineStr">
        <is>
          <t>568.7KB</t>
        </is>
      </c>
      <c r="D1903" t="inlineStr">
        <is>
          <t>/科学/五年级下册/苏教版/期末评估/素质评估卷/K12/学龄儿童家长</t>
        </is>
      </c>
      <c r="E1903" t="inlineStr">
        <is>
          <t>https://dcn8qexvg13r.feishu.cn/share/base/query/shrcnMqxwwRkV3NUIUxPeab3sec</t>
        </is>
      </c>
      <c r="F1903" t="inlineStr">
        <is>
          <t>请添加微信：k846211</t>
        </is>
      </c>
      <c r="G1903" t="inlineStr">
        <is>
          <t>2026-03-15</t>
        </is>
      </c>
    </row>
    <row r="1904" ht="25.5" customHeight="1">
      <c r="A1904" t="inlineStr">
        <is>
          <t>【苏教版】五年级下册科学电子课本.pdf</t>
        </is>
      </c>
      <c r="B1904" s="2" t="str">
        <f>=HYPERLINK("https://pan.quark.cn/s/a4cc1ac126ef", "https://pan.quark.cn/s/a4cc1ac126ef")</f>
        <v>https://pan.quark.cn/s/a4cc1ac126ef</v>
      </c>
      <c r="C1904" t="inlineStr">
        <is>
          <t>25.7MB</t>
        </is>
      </c>
      <c r="D1904" t="inlineStr">
        <is>
          <t>/苏教版/五年级下册/科学/电子课本/K12/学龄儿童家长</t>
        </is>
      </c>
      <c r="E1904" t="inlineStr">
        <is>
          <t>https://dcn8qexvg13r.feishu.cn/share/base/query/shrcnMqxwwRkV3NUIUxPeab3sec</t>
        </is>
      </c>
      <c r="F1904" t="inlineStr">
        <is>
          <t>请添加微信：k846211</t>
        </is>
      </c>
      <c r="G1904" t="inlineStr">
        <is>
          <t>2026-03-15</t>
        </is>
      </c>
    </row>
    <row r="1905" ht="25.5" customHeight="1">
      <c r="A1905" t="inlineStr">
        <is>
          <t>2026-太阳之子</t>
        </is>
      </c>
      <c r="B1905" s="2" t="str">
        <f>=HYPERLINK("https://pan.quark.cn/s/5c72e94359e5", "https://pan.quark.cn/s/5c72e94359e5")</f>
        <v>https://pan.quark.cn/s/5c72e94359e5</v>
      </c>
      <c r="C1905" t="inlineStr">
        <is>
          <t>435.6MB</t>
        </is>
      </c>
      <c r="D1905" t="inlineStr">
        <is>
          <t>/太阳之子/2026/动漫/学龄儿童家长/动漫</t>
        </is>
      </c>
      <c r="E1905" t="inlineStr">
        <is>
          <t>https://dcn8qexvg13r.feishu.cn/share/base/query/shrcnMqxwwRkV3NUIUxPeab3sec</t>
        </is>
      </c>
      <c r="F1905" t="inlineStr">
        <is>
          <t>请添加微信：k846211</t>
        </is>
      </c>
      <c r="G1905" t="inlineStr">
        <is>
          <t>2026-03-15</t>
        </is>
      </c>
    </row>
    <row r="1906" ht="25.5" customHeight="1">
      <c r="A1906" t="inlineStr">
        <is>
          <t>河 狸变身计划</t>
        </is>
      </c>
      <c r="B1906" s="2" t="str">
        <f>=HYPERLINK("https://pan.quark.cn/s/55083981e7b2", "https://pan.quark.cn/s/55083981e7b2")</f>
        <v>https://pan.quark.cn/s/55083981e7b2</v>
      </c>
      <c r="C1906" t="inlineStr">
        <is>
          <t>11.9GB</t>
        </is>
      </c>
      <c r="D1906" t="inlineStr">
        <is>
          <t>/河狸/变身/计划/其他</t>
        </is>
      </c>
      <c r="E1906" t="inlineStr">
        <is>
          <t>https://dcn8qexvg13r.feishu.cn/share/base/query/shrcnMqxwwRkV3NUIUxPeab3sec</t>
        </is>
      </c>
      <c r="F1906" t="inlineStr">
        <is>
          <t>请添加微信：k846211</t>
        </is>
      </c>
      <c r="G1906" t="inlineStr">
        <is>
          <t>2026-03-15</t>
        </is>
      </c>
    </row>
    <row r="1907" ht="25.5" customHeight="1">
      <c r="A1907" t="inlineStr">
        <is>
          <t>「吾岸·彼岸」演唱会澳门场Day2完整版</t>
        </is>
      </c>
      <c r="B1907" s="2" t="str">
        <f>=HYPERLINK("https://pan.quark.cn/s/7ef1fbb3ba49", "https://pan.quark.cn/s/7ef1fbb3ba49")</f>
        <v>https://pan.quark.cn/s/7ef1fbb3ba49</v>
      </c>
      <c r="C1907" t="inlineStr">
        <is>
          <t>9.8GB</t>
        </is>
      </c>
      <c r="D1907" t="inlineStr">
        <is>
          <t>/吾岸·彼岸/演唱会/澳门场/完整版/音乐迷</t>
        </is>
      </c>
      <c r="E1907" t="inlineStr">
        <is>
          <t>https://dcn8qexvg13r.feishu.cn/share/base/query/shrcnMqxwwRkV3NUIUxPeab3sec</t>
        </is>
      </c>
      <c r="F1907" t="inlineStr">
        <is>
          <t>请添加微信：k846211</t>
        </is>
      </c>
      <c r="G1907" t="inlineStr">
        <is>
          <t>2026-03-15</t>
        </is>
      </c>
    </row>
    <row r="1908" ht="25.5" customHeight="1">
      <c r="A1908" t="inlineStr">
        <is>
          <t>T《甜蜜家园》全1~3季 科幻 惊悚 韩语中字</t>
        </is>
      </c>
      <c r="B1908" s="2" t="str">
        <f>=HYPERLINK("https://pan.quark.cn/s/3368c4a6e62d", "https://pan.quark.cn/s/3368c4a6e62d")</f>
        <v>https://pan.quark.cn/s/3368c4a6e62d</v>
      </c>
      <c r="C1908" t="inlineStr">
        <is>
          <t>54.5GB</t>
        </is>
      </c>
      <c r="D1908" t="inlineStr">
        <is>
          <t>/甜蜜家园/科幻/惊悚/韩语中字/剧集</t>
        </is>
      </c>
      <c r="E1908" t="inlineStr">
        <is>
          <t>https://dcn8qexvg13r.feishu.cn/share/base/query/shrcnMqxwwRkV3NUIUxPeab3sec</t>
        </is>
      </c>
      <c r="F1908" t="inlineStr">
        <is>
          <t>请添加微信：k846211</t>
        </is>
      </c>
      <c r="G1908" t="inlineStr">
        <is>
          <t>2026-03-15</t>
        </is>
      </c>
    </row>
    <row r="1909" ht="25.5" customHeight="1">
      <c r="A1909" t="inlineStr">
        <is>
          <t>鱿.鱼.游.戏（全1-3季）韩语中字</t>
        </is>
      </c>
      <c r="B1909" s="2" t="str">
        <f>=HYPERLINK("https://pan.quark.cn/s/5b526814a55e", "https://pan.quark.cn/s/5b526814a55e")</f>
        <v>https://pan.quark.cn/s/5b526814a55e</v>
      </c>
      <c r="C1909" t="inlineStr">
        <is>
          <t>205.9GB</t>
        </is>
      </c>
      <c r="D1909" t="inlineStr">
        <is>
          <t>/鱿鱼游戏/韩语/中字/剧集/剧集</t>
        </is>
      </c>
      <c r="E1909" t="inlineStr">
        <is>
          <t>https://dcn8qexvg13r.feishu.cn/share/base/query/shrcnMqxwwRkV3NUIUxPeab3sec</t>
        </is>
      </c>
      <c r="F1909" t="inlineStr">
        <is>
          <t>请添加微信：k846211</t>
        </is>
      </c>
      <c r="G1909" t="inlineStr">
        <is>
          <t>2026-03-15</t>
        </is>
      </c>
    </row>
    <row r="1910" ht="25.5" customHeight="1">
      <c r="A1910" t="inlineStr">
        <is>
          <t>枪口彼端（2025）4K 动作 惊悚 灾难 内封韩语中字</t>
        </is>
      </c>
      <c r="B1910" s="2" t="str">
        <f>=HYPERLINK("https://pan.quark.cn/s/ef9f44bec27b", "https://pan.quark.cn/s/ef9f44bec27b")</f>
        <v>https://pan.quark.cn/s/ef9f44bec27b</v>
      </c>
      <c r="C1910" t="inlineStr">
        <is>
          <t>53.9GB</t>
        </is>
      </c>
      <c r="D1910" t="inlineStr">
        <is>
          <t>/枪口彼端/4K/动作/惊悚/电影</t>
        </is>
      </c>
      <c r="E1910" t="inlineStr">
        <is>
          <t>https://dcn8qexvg13r.feishu.cn/share/base/query/shrcnMqxwwRkV3NUIUxPeab3sec</t>
        </is>
      </c>
      <c r="F1910" t="inlineStr">
        <is>
          <t>请添加微信：k846211</t>
        </is>
      </c>
      <c r="G1910" t="inlineStr">
        <is>
          <t>2026-03-15</t>
        </is>
      </c>
    </row>
    <row r="1911" ht="25.5" customHeight="1">
      <c r="A1911" t="inlineStr">
        <is>
          <t>超能异族（2023）4K 动作 奇幻 爱情 悬疑 韩语中字 全20集</t>
        </is>
      </c>
      <c r="B1911" s="2" t="str">
        <f>=HYPERLINK("https://pan.quark.cn/s/9152aebf086e", "https://pan.quark.cn/s/9152aebf086e")</f>
        <v>https://pan.quark.cn/s/9152aebf086e</v>
      </c>
      <c r="C1911" t="inlineStr">
        <is>
          <t>28.9GB</t>
        </is>
      </c>
      <c r="D1911" t="inlineStr">
        <is>
          <t>/超能异族/4K/动作奇幻/韩语中字/剧集</t>
        </is>
      </c>
      <c r="E1911" t="inlineStr">
        <is>
          <t>https://dcn8qexvg13r.feishu.cn/share/base/query/shrcnMqxwwRkV3NUIUxPeab3sec</t>
        </is>
      </c>
      <c r="F1911" t="inlineStr">
        <is>
          <t>请添加微信：k846211</t>
        </is>
      </c>
      <c r="G1911" t="inlineStr">
        <is>
          <t>2026-03-15</t>
        </is>
      </c>
    </row>
    <row r="1912" ht="25.5" customHeight="1">
      <c r="A1912" t="inlineStr">
        <is>
          <t>Y 引申的明子 4K 高码率 HDR DV 更至最新</t>
        </is>
      </c>
      <c r="B1912" s="2" t="str">
        <f>=HYPERLINK("https://pan.quark.cn/s/d39dbe7cad86", "https://pan.quark.cn/s/d39dbe7cad86")</f>
        <v>https://pan.quark.cn/s/d39dbe7cad86</v>
      </c>
      <c r="C1912" t="inlineStr">
        <is>
          <t>128.5GB</t>
        </is>
      </c>
      <c r="D1912" t="inlineStr">
        <is>
          <t>/Y/4K/HDR/高码率/剧集</t>
        </is>
      </c>
      <c r="E1912" t="inlineStr">
        <is>
          <t>https://dcn8qexvg13r.feishu.cn/share/base/query/shrcnMqxwwRkV3NUIUxPeab3sec</t>
        </is>
      </c>
      <c r="F1912" t="inlineStr">
        <is>
          <t>请添加微信：k846211</t>
        </is>
      </c>
      <c r="G1912" t="inlineStr">
        <is>
          <t>2026-03-15</t>
        </is>
      </c>
    </row>
    <row r="1913" ht="25.5" customHeight="1">
      <c r="A1913" t="inlineStr">
        <is>
          <t>四年级下册数学同步练习-4.1认识三角形｜西师大版（2014秋）.doc</t>
        </is>
      </c>
      <c r="B1913" s="2" t="str">
        <f>=HYPERLINK("https://pan.quark.cn/s/51e50789c0ed", "https://pan.quark.cn/s/51e50789c0ed")</f>
        <v>https://pan.quark.cn/s/51e50789c0ed</v>
      </c>
      <c r="C1913" t="inlineStr">
        <is>
          <t>1.8MB</t>
        </is>
      </c>
      <c r="D1913" t="inlineStr">
        <is>
          <t>/三角形/四年级下册/数学同步练习/西师大版/K12/学龄儿童家长</t>
        </is>
      </c>
      <c r="E1913" t="inlineStr">
        <is>
          <t>https://dcn8qexvg13r.feishu.cn/share/base/query/shrcnMqxwwRkV3NUIUxPeab3sec</t>
        </is>
      </c>
      <c r="F1913" t="inlineStr">
        <is>
          <t>请添加微信：k846211</t>
        </is>
      </c>
      <c r="G1913" t="inlineStr">
        <is>
          <t>2026-03-15</t>
        </is>
      </c>
    </row>
    <row r="1914" ht="25.5" customHeight="1">
      <c r="A1914" t="inlineStr">
        <is>
          <t>一年级下册语文期中1-4单元基础过关练习卷(1).pdf</t>
        </is>
      </c>
      <c r="B1914" s="2" t="str">
        <f>=HYPERLINK("https://pan.quark.cn/s/4931a780574e", "https://pan.quark.cn/s/4931a780574e")</f>
        <v>https://pan.quark.cn/s/4931a780574e</v>
      </c>
      <c r="C1914" t="inlineStr">
        <is>
          <t>3.1MB</t>
        </is>
      </c>
      <c r="D1914" t="inlineStr">
        <is>
          <t>/一年级语文/期中练习/基础过关/单元练习/K12/学龄儿童家长</t>
        </is>
      </c>
      <c r="E1914" t="inlineStr">
        <is>
          <t>https://dcn8qexvg13r.feishu.cn/share/base/query/shrcnMqxwwRkV3NUIUxPeab3sec</t>
        </is>
      </c>
      <c r="F1914" t="inlineStr">
        <is>
          <t>请添加微信：k846211</t>
        </is>
      </c>
      <c r="G1914" t="inlineStr">
        <is>
          <t>2026-03-15</t>
        </is>
      </c>
    </row>
    <row r="1915" ht="25.5" customHeight="1">
      <c r="A1915" t="inlineStr">
        <is>
          <t>二年级下册语文期中1-4单元基础过关练习卷(1).pdf</t>
        </is>
      </c>
      <c r="B1915" s="2" t="str">
        <f>=HYPERLINK("https://pan.quark.cn/s/0db7bc1a7c85", "https://pan.quark.cn/s/0db7bc1a7c85")</f>
        <v>https://pan.quark.cn/s/0db7bc1a7c85</v>
      </c>
      <c r="C1915" t="inlineStr">
        <is>
          <t>1.2MB</t>
        </is>
      </c>
      <c r="D1915" t="inlineStr">
        <is>
          <t>/二年级语文/期中练习/基础过关/1-4单元/K12/学龄儿童家长</t>
        </is>
      </c>
      <c r="E1915" t="inlineStr">
        <is>
          <t>https://dcn8qexvg13r.feishu.cn/share/base/query/shrcnMqxwwRkV3NUIUxPeab3sec</t>
        </is>
      </c>
      <c r="F1915" t="inlineStr">
        <is>
          <t>请添加微信：k846211</t>
        </is>
      </c>
      <c r="G1915" t="inlineStr">
        <is>
          <t>2026-03-15</t>
        </is>
      </c>
    </row>
    <row r="1916" ht="25.5" customHeight="1">
      <c r="A1916" t="inlineStr">
        <is>
          <t>三年级下册语文期中1-4单元基础过关练习卷(1).pdf</t>
        </is>
      </c>
      <c r="B1916" s="2" t="str">
        <f>=HYPERLINK("https://pan.quark.cn/s/b408186b4c5a", "https://pan.quark.cn/s/b408186b4c5a")</f>
        <v>https://pan.quark.cn/s/b408186b4c5a</v>
      </c>
      <c r="C1916" t="inlineStr">
        <is>
          <t>6.0MB</t>
        </is>
      </c>
      <c r="D1916" t="inlineStr">
        <is>
          <t>/三年级下册语文/期中练习卷/基础过关/K12/学龄儿童家长</t>
        </is>
      </c>
      <c r="E1916" t="inlineStr">
        <is>
          <t>https://dcn8qexvg13r.feishu.cn/share/base/query/shrcnMqxwwRkV3NUIUxPeab3sec</t>
        </is>
      </c>
      <c r="F1916" t="inlineStr">
        <is>
          <t>请添加微信：k846211</t>
        </is>
      </c>
      <c r="G1916" t="inlineStr">
        <is>
          <t>2026-03-15</t>
        </is>
      </c>
    </row>
    <row r="1917" ht="25.5" customHeight="1">
      <c r="A1917" t="inlineStr">
        <is>
          <t>四年级下册语文期中1-4单元基础过关练习卷(1).pdf</t>
        </is>
      </c>
      <c r="B1917" s="2" t="str">
        <f>=HYPERLINK("https://pan.quark.cn/s/cff1d5ec7760", "https://pan.quark.cn/s/cff1d5ec7760")</f>
        <v>https://pan.quark.cn/s/cff1d5ec7760</v>
      </c>
      <c r="C1917" t="inlineStr">
        <is>
          <t>6.3MB</t>
        </is>
      </c>
      <c r="D1917" t="inlineStr">
        <is>
          <t>/四年级下册语文/期中练习/基础过关/K12/学龄儿童家长</t>
        </is>
      </c>
      <c r="E1917" t="inlineStr">
        <is>
          <t>https://dcn8qexvg13r.feishu.cn/share/base/query/shrcnMqxwwRkV3NUIUxPeab3sec</t>
        </is>
      </c>
      <c r="F1917" t="inlineStr">
        <is>
          <t>请添加微信：k846211</t>
        </is>
      </c>
      <c r="G1917" t="inlineStr">
        <is>
          <t>2026-03-15</t>
        </is>
      </c>
    </row>
    <row r="1918" ht="25.5" customHeight="1">
      <c r="A1918" t="inlineStr">
        <is>
          <t>五年级下册语文期中1-4单元基础过关练习卷(1).pdf</t>
        </is>
      </c>
      <c r="B1918" s="2" t="str">
        <f>=HYPERLINK("https://pan.quark.cn/s/7200a4e0f57d", "https://pan.quark.cn/s/7200a4e0f57d")</f>
        <v>https://pan.quark.cn/s/7200a4e0f57d</v>
      </c>
      <c r="C1918" t="inlineStr">
        <is>
          <t>3.9MB</t>
        </is>
      </c>
      <c r="D1918" t="inlineStr">
        <is>
          <t>/五年级下册语文/期中练习/基础过关/K12/学龄儿童家长</t>
        </is>
      </c>
      <c r="E1918" t="inlineStr">
        <is>
          <t>https://dcn8qexvg13r.feishu.cn/share/base/query/shrcnMqxwwRkV3NUIUxPeab3sec</t>
        </is>
      </c>
      <c r="F1918" t="inlineStr">
        <is>
          <t>请添加微信：k846211</t>
        </is>
      </c>
      <c r="G1918" t="inlineStr">
        <is>
          <t>2026-03-15</t>
        </is>
      </c>
    </row>
    <row r="1919" ht="25.5" customHeight="1">
      <c r="A1919" t="inlineStr">
        <is>
          <t>六年级下册语文期中1-4单元基础过关练习卷(1).pdf</t>
        </is>
      </c>
      <c r="B1919" s="2" t="str">
        <f>=HYPERLINK("https://pan.quark.cn/s/8b967d8080dd", "https://pan.quark.cn/s/8b967d8080dd")</f>
        <v>https://pan.quark.cn/s/8b967d8080dd</v>
      </c>
      <c r="C1919" t="inlineStr">
        <is>
          <t>5.0MB</t>
        </is>
      </c>
      <c r="D1919" t="inlineStr">
        <is>
          <t>/六年级下册语文/期中练习卷/基础过关/K12/学龄儿童家长</t>
        </is>
      </c>
      <c r="E1919" t="inlineStr">
        <is>
          <t>https://dcn8qexvg13r.feishu.cn/share/base/query/shrcnMqxwwRkV3NUIUxPeab3sec</t>
        </is>
      </c>
      <c r="F1919" t="inlineStr">
        <is>
          <t>请添加微信：k846211</t>
        </is>
      </c>
      <c r="G1919" t="inlineStr">
        <is>
          <t>2026-03-15</t>
        </is>
      </c>
    </row>
    <row r="1920" ht="25.5" customHeight="1">
      <c r="A1920" t="inlineStr">
        <is>
          <t>六年级下册(1)</t>
        </is>
      </c>
      <c r="B1920" s="2" t="str">
        <f>=HYPERLINK("https://pan.quark.cn/s/3b158b4b8780", "https://pan.quark.cn/s/3b158b4b8780")</f>
        <v>https://pan.quark.cn/s/3b158b4b8780</v>
      </c>
      <c r="C1920" t="inlineStr">
        <is>
          <t>6.3GB</t>
        </is>
      </c>
      <c r="D1920" t="inlineStr">
        <is>
          <t>/六年级/下册/教材/K12/学龄儿童家长</t>
        </is>
      </c>
      <c r="E1920" t="inlineStr">
        <is>
          <t>https://dcn8qexvg13r.feishu.cn/share/base/query/shrcnMqxwwRkV3NUIUxPeab3sec</t>
        </is>
      </c>
      <c r="F1920" t="inlineStr">
        <is>
          <t>请添加微信：k846211</t>
        </is>
      </c>
      <c r="G1920" t="inlineStr">
        <is>
          <t>2026-03-15</t>
        </is>
      </c>
    </row>
    <row r="1921" ht="25.5" customHeight="1">
      <c r="A1921" t="inlineStr">
        <is>
          <t>1.26四下《道德与法治重点知识点汇总》.pdf</t>
        </is>
      </c>
      <c r="B1921" s="2" t="str">
        <f>=HYPERLINK("https://pan.quark.cn/s/3c63d1519d6d", "https://pan.quark.cn/s/3c63d1519d6d")</f>
        <v>https://pan.quark.cn/s/3c63d1519d6d</v>
      </c>
      <c r="C1921" t="inlineStr">
        <is>
          <t>448.4MB</t>
        </is>
      </c>
      <c r="D1921" t="inlineStr">
        <is>
          <t>/道德与法治/四年级下册/知识点汇总/K12/学龄儿童家长</t>
        </is>
      </c>
      <c r="E1921" t="inlineStr">
        <is>
          <t>https://dcn8qexvg13r.feishu.cn/share/base/query/shrcnMqxwwRkV3NUIUxPeab3sec</t>
        </is>
      </c>
      <c r="F1921" t="inlineStr">
        <is>
          <t>请添加微信：k846211</t>
        </is>
      </c>
      <c r="G1921" t="inlineStr">
        <is>
          <t>2026-03-15</t>
        </is>
      </c>
    </row>
    <row r="1922" ht="25.5" customHeight="1">
      <c r="A1922" t="inlineStr">
        <is>
          <t>三年级（下）数学第一单元拔尖检测卷.pdf</t>
        </is>
      </c>
      <c r="B1922" s="2" t="str">
        <f>=HYPERLINK("https://pan.quark.cn/s/6d9b5e57b3f6", "https://pan.quark.cn/s/6d9b5e57b3f6")</f>
        <v>https://pan.quark.cn/s/6d9b5e57b3f6</v>
      </c>
      <c r="C1922" t="inlineStr">
        <is>
          <t>528.0MB</t>
        </is>
      </c>
      <c r="D1922" t="inlineStr">
        <is>
          <t>/三年级数学/第一单元/拔尖检测卷/数学检测/K12/学龄儿童家长</t>
        </is>
      </c>
      <c r="E1922" t="inlineStr">
        <is>
          <t>https://dcn8qexvg13r.feishu.cn/share/base/query/shrcnMqxwwRkV3NUIUxPeab3sec</t>
        </is>
      </c>
      <c r="F1922" t="inlineStr">
        <is>
          <t>请添加微信：k846211</t>
        </is>
      </c>
      <c r="G1922" t="inlineStr">
        <is>
          <t>2026-03-15</t>
        </is>
      </c>
    </row>
    <row r="1923" ht="25.5" customHeight="1">
      <c r="A1923" t="inlineStr">
        <is>
          <t>二年级数学下册人教版26春答案(1).pdf</t>
        </is>
      </c>
      <c r="B1923" s="2" t="str">
        <f>=HYPERLINK("https://pan.quark.cn/s/1f7bbedaf639", "https://pan.quark.cn/s/1f7bbedaf639")</f>
        <v>https://pan.quark.cn/s/1f7bbedaf639</v>
      </c>
      <c r="C1923" t="inlineStr">
        <is>
          <t>573.8MB</t>
        </is>
      </c>
      <c r="D1923" t="inlineStr">
        <is>
          <t>/二年级数学/人教版/下册/参考答案/K12/学龄儿童家长</t>
        </is>
      </c>
      <c r="E1923" t="inlineStr">
        <is>
          <t>https://dcn8qexvg13r.feishu.cn/share/base/query/shrcnMqxwwRkV3NUIUxPeab3sec</t>
        </is>
      </c>
      <c r="F1923" t="inlineStr">
        <is>
          <t>请添加微信：k846211</t>
        </is>
      </c>
      <c r="G1923" t="inlineStr">
        <is>
          <t>2026-03-15</t>
        </is>
      </c>
    </row>
    <row r="1924" ht="25.5" customHeight="1">
      <c r="A1924" t="inlineStr">
        <is>
          <t>一年级数学下册人教版26春答案.pdf</t>
        </is>
      </c>
      <c r="B1924" s="2" t="str">
        <f>=HYPERLINK("https://pan.quark.cn/s/8832c866f55a", "https://pan.quark.cn/s/8832c866f55a")</f>
        <v>https://pan.quark.cn/s/8832c866f55a</v>
      </c>
      <c r="C1924" t="inlineStr">
        <is>
          <t>605.0MB</t>
        </is>
      </c>
      <c r="D1924" t="inlineStr">
        <is>
          <t>/一年级数学/人教版/下册/参考答案/K12/学龄儿童家长</t>
        </is>
      </c>
      <c r="E1924" t="inlineStr">
        <is>
          <t>https://dcn8qexvg13r.feishu.cn/share/base/query/shrcnMqxwwRkV3NUIUxPeab3sec</t>
        </is>
      </c>
      <c r="F1924" t="inlineStr">
        <is>
          <t>请添加微信：k846211</t>
        </is>
      </c>
      <c r="G1924" t="inlineStr">
        <is>
          <t>2026-03-15</t>
        </is>
      </c>
    </row>
    <row r="1925" ht="25.5" customHeight="1">
      <c r="A1925" t="inlineStr">
        <is>
          <t>4.5 清明节手抄报</t>
        </is>
      </c>
      <c r="B1925" s="2" t="str">
        <f>=HYPERLINK("https://pan.quark.cn/s/5477e80607d4", "https://pan.quark.cn/s/5477e80607d4")</f>
        <v>https://pan.quark.cn/s/5477e80607d4</v>
      </c>
      <c r="C1925" t="inlineStr">
        <is>
          <t>4.5GB</t>
        </is>
      </c>
      <c r="D1925" t="inlineStr">
        <is>
          <t>/清明节/手抄报/节日主题/手工制作/K12/学龄儿童家长</t>
        </is>
      </c>
      <c r="E1925" t="inlineStr">
        <is>
          <t>https://dcn8qexvg13r.feishu.cn/share/base/query/shrcnMqxwwRkV3NUIUxPeab3sec</t>
        </is>
      </c>
      <c r="F1925" t="inlineStr">
        <is>
          <t>请添加微信：k846211</t>
        </is>
      </c>
      <c r="G1925" t="inlineStr">
        <is>
          <t>2026-03-15</t>
        </is>
      </c>
    </row>
    <row r="1926" ht="25.5" customHeight="1">
      <c r="A1926" t="inlineStr">
        <is>
          <t>3-6年级下册 道德与法治知识点+试卷 26春</t>
        </is>
      </c>
      <c r="B1926" s="2" t="str">
        <f>=HYPERLINK("https://pan.quark.cn/s/c238dfe930f5", "https://pan.quark.cn/s/c238dfe930f5")</f>
        <v>https://pan.quark.cn/s/c238dfe930f5</v>
      </c>
      <c r="C1926" t="inlineStr">
        <is>
          <t>60.0MB</t>
        </is>
      </c>
      <c r="D1926" t="inlineStr">
        <is>
          <t>/道德与法治/知识点/试卷/3-6年级/K12/学龄儿童家长</t>
        </is>
      </c>
      <c r="E1926" t="inlineStr">
        <is>
          <t>https://dcn8qexvg13r.feishu.cn/share/base/query/shrcnMqxwwRkV3NUIUxPeab3sec</t>
        </is>
      </c>
      <c r="F1926" t="inlineStr">
        <is>
          <t>请添加微信：k846211</t>
        </is>
      </c>
      <c r="G1926" t="inlineStr">
        <is>
          <t>2026-03-15</t>
        </is>
      </c>
    </row>
    <row r="1927" ht="25.5" customHeight="1">
      <c r="A1927" t="inlineStr">
        <is>
          <t>1-6年级语文下册《默写达人》26春</t>
        </is>
      </c>
      <c r="B1927" s="2" t="str">
        <f>=HYPERLINK("https://pan.quark.cn/s/4b0afb3c56df", "https://pan.quark.cn/s/4b0afb3c56df")</f>
        <v>https://pan.quark.cn/s/4b0afb3c56df</v>
      </c>
      <c r="C1927" t="inlineStr">
        <is>
          <t>516.0MB</t>
        </is>
      </c>
      <c r="D1927" t="inlineStr">
        <is>
          <t>/小学语文/默写练习/下册/26春/K12/学龄儿童家长</t>
        </is>
      </c>
      <c r="E1927" t="inlineStr">
        <is>
          <t>https://dcn8qexvg13r.feishu.cn/share/base/query/shrcnMqxwwRkV3NUIUxPeab3sec</t>
        </is>
      </c>
      <c r="F1927" t="inlineStr">
        <is>
          <t>请添加微信：k846211</t>
        </is>
      </c>
      <c r="G1927" t="inlineStr">
        <is>
          <t>2026-03-15</t>
        </is>
      </c>
    </row>
    <row r="1928" ht="25.5" customHeight="1">
      <c r="A1928" t="inlineStr">
        <is>
          <t>1-6年级语文下册《写作范文及技巧》26春</t>
        </is>
      </c>
      <c r="B1928" s="2" t="str">
        <f>=HYPERLINK("https://pan.quark.cn/s/6bf4f57422cc", "https://pan.quark.cn/s/6bf4f57422cc")</f>
        <v>https://pan.quark.cn/s/6bf4f57422cc</v>
      </c>
      <c r="C1928" t="inlineStr">
        <is>
          <t>186.8MB</t>
        </is>
      </c>
      <c r="D1928" t="inlineStr">
        <is>
          <t>/语文写作/写作范文/写作技巧/小学1-6年级/K12/学龄儿童家长</t>
        </is>
      </c>
      <c r="E1928" t="inlineStr">
        <is>
          <t>https://dcn8qexvg13r.feishu.cn/share/base/query/shrcnMqxwwRkV3NUIUxPeab3sec</t>
        </is>
      </c>
      <c r="F1928" t="inlineStr">
        <is>
          <t>请添加微信：k846211</t>
        </is>
      </c>
      <c r="G1928" t="inlineStr">
        <is>
          <t>2026-03-15</t>
        </is>
      </c>
    </row>
    <row r="1929" ht="25.5" customHeight="1">
      <c r="A1929" t="inlineStr">
        <is>
          <t>3年级浅奥-深奥《陈老师》(2)</t>
        </is>
      </c>
      <c r="B1929" s="2" t="str">
        <f>=HYPERLINK("https://pan.quark.cn/s/742778f2f910", "https://pan.quark.cn/s/742778f2f910")</f>
        <v>https://pan.quark.cn/s/742778f2f910</v>
      </c>
      <c r="C1929" t="inlineStr">
        <is>
          <t>17.6GB</t>
        </is>
      </c>
      <c r="D1929" t="inlineStr">
        <is>
          <t>/3年级/浅奥/深奥/陈老师/K12/学龄儿童家长</t>
        </is>
      </c>
      <c r="E1929" t="inlineStr">
        <is>
          <t>https://dcn8qexvg13r.feishu.cn/share/base/query/shrcnMqxwwRkV3NUIUxPeab3sec</t>
        </is>
      </c>
      <c r="F1929" t="inlineStr">
        <is>
          <t>请添加微信：k846211</t>
        </is>
      </c>
      <c r="G1929" t="inlineStr">
        <is>
          <t>2026-03-15</t>
        </is>
      </c>
    </row>
    <row r="1930" ht="25.5" customHeight="1">
      <c r="A1930" t="inlineStr">
        <is>
          <t>六年级（下）数学 必背公式汇总.pdf</t>
        </is>
      </c>
      <c r="B1930" s="2" t="str">
        <f>=HYPERLINK("https://pan.quark.cn/s/83957c0d5e47", "https://pan.quark.cn/s/83957c0d5e47")</f>
        <v>https://pan.quark.cn/s/83957c0d5e47</v>
      </c>
      <c r="C1930" t="inlineStr">
        <is>
          <t>19.1MB</t>
        </is>
      </c>
      <c r="D1930" t="inlineStr">
        <is>
          <t>/六年级数学/必背公式/数学公式/学习资料/K12/学龄儿童家长</t>
        </is>
      </c>
      <c r="E1930" t="inlineStr">
        <is>
          <t>https://dcn8qexvg13r.feishu.cn/share/base/query/shrcnMqxwwRkV3NUIUxPeab3sec</t>
        </is>
      </c>
      <c r="F1930" t="inlineStr">
        <is>
          <t>请添加微信：k846211</t>
        </is>
      </c>
      <c r="G1930" t="inlineStr">
        <is>
          <t>2026-03-15</t>
        </is>
      </c>
    </row>
    <row r="1931" ht="25.5" customHeight="1">
      <c r="A1931" t="inlineStr">
        <is>
          <t>看图写话一下语文_1766987175892(1).pdf</t>
        </is>
      </c>
      <c r="B1931" s="2" t="str">
        <f>=HYPERLINK("https://pan.quark.cn/s/02aed78554ae", "https://pan.quark.cn/s/02aed78554ae")</f>
        <v>https://pan.quark.cn/s/02aed78554ae</v>
      </c>
      <c r="C1931" t="inlineStr">
        <is>
          <t>15.2MB</t>
        </is>
      </c>
      <c r="D1931" t="inlineStr">
        <is>
          <t>/看图写话/语文/小学教育/学习资料/K12/学龄儿童家长</t>
        </is>
      </c>
      <c r="E1931" t="inlineStr">
        <is>
          <t>https://dcn8qexvg13r.feishu.cn/share/base/query/shrcnMqxwwRkV3NUIUxPeab3sec</t>
        </is>
      </c>
      <c r="F1931" t="inlineStr">
        <is>
          <t>请添加微信：k846211</t>
        </is>
      </c>
      <c r="G1931" t="inlineStr">
        <is>
          <t>2026-03-15</t>
        </is>
      </c>
    </row>
    <row r="1932" ht="25.5" customHeight="1">
      <c r="A1932" t="inlineStr">
        <is>
          <t>看图写话二下语文_1767079027984(1).pdf</t>
        </is>
      </c>
      <c r="B1932" s="2" t="str">
        <f>=HYPERLINK("https://pan.quark.cn/s/07678b679a41", "https://pan.quark.cn/s/07678b679a41")</f>
        <v>https://pan.quark.cn/s/07678b679a41</v>
      </c>
      <c r="C1932" t="inlineStr">
        <is>
          <t>19.1MB</t>
        </is>
      </c>
      <c r="D1932" t="inlineStr">
        <is>
          <t>/看图写话/二年级下册/语文/学习资料/K12/学龄儿童家长</t>
        </is>
      </c>
      <c r="E1932" t="inlineStr">
        <is>
          <t>https://dcn8qexvg13r.feishu.cn/share/base/query/shrcnMqxwwRkV3NUIUxPeab3sec</t>
        </is>
      </c>
      <c r="F1932" t="inlineStr">
        <is>
          <t>请添加微信：k846211</t>
        </is>
      </c>
      <c r="G1932" t="inlineStr">
        <is>
          <t>2026-03-15</t>
        </is>
      </c>
    </row>
    <row r="1933" ht="25.5" customHeight="1">
      <c r="A1933" t="inlineStr">
        <is>
          <t>同步作文三下语文_1767173911086(1).pdf</t>
        </is>
      </c>
      <c r="B1933" s="2" t="str">
        <f>=HYPERLINK("https://pan.quark.cn/s/90c56c6883ee", "https://pan.quark.cn/s/90c56c6883ee")</f>
        <v>https://pan.quark.cn/s/90c56c6883ee</v>
      </c>
      <c r="C1933" t="inlineStr">
        <is>
          <t>91.2MB</t>
        </is>
      </c>
      <c r="D1933" t="inlineStr">
        <is>
          <t>/同步作文/三年级下册/小学语文/作文辅导/K12/学龄儿童家长</t>
        </is>
      </c>
      <c r="E1933" t="inlineStr">
        <is>
          <t>https://dcn8qexvg13r.feishu.cn/share/base/query/shrcnMqxwwRkV3NUIUxPeab3sec</t>
        </is>
      </c>
      <c r="F1933" t="inlineStr">
        <is>
          <t>请添加微信：k846211</t>
        </is>
      </c>
      <c r="G1933" t="inlineStr">
        <is>
          <t>2026-03-15</t>
        </is>
      </c>
    </row>
    <row r="1934" ht="25.5" customHeight="1">
      <c r="A1934" t="inlineStr">
        <is>
          <t>同步作文四下语文_1767173997130(1).pdf</t>
        </is>
      </c>
      <c r="B1934" s="2" t="str">
        <f>=HYPERLINK("https://pan.quark.cn/s/82368c39e1d3", "https://pan.quark.cn/s/82368c39e1d3")</f>
        <v>https://pan.quark.cn/s/82368c39e1d3</v>
      </c>
      <c r="C1934" t="inlineStr">
        <is>
          <t>50.5MB</t>
        </is>
      </c>
      <c r="D1934" t="inlineStr">
        <is>
          <t>/同步作文/四年级下册/语文/K12/学龄儿童家长</t>
        </is>
      </c>
      <c r="E1934" t="inlineStr">
        <is>
          <t>https://dcn8qexvg13r.feishu.cn/share/base/query/shrcnMqxwwRkV3NUIUxPeab3sec</t>
        </is>
      </c>
      <c r="F1934" t="inlineStr">
        <is>
          <t>请添加微信：k846211</t>
        </is>
      </c>
      <c r="G1934" t="inlineStr">
        <is>
          <t>2026-03-15</t>
        </is>
      </c>
    </row>
    <row r="1935" ht="25.5" customHeight="1">
      <c r="A1935" t="inlineStr">
        <is>
          <t>同步作文五下语文_1767174054271(1).pdf</t>
        </is>
      </c>
      <c r="B1935" s="2" t="str">
        <f>=HYPERLINK("https://pan.quark.cn/s/7f2d564272cd", "https://pan.quark.cn/s/7f2d564272cd")</f>
        <v>https://pan.quark.cn/s/7f2d564272cd</v>
      </c>
      <c r="C1935" t="inlineStr">
        <is>
          <t>55.2MB</t>
        </is>
      </c>
      <c r="D1935" t="inlineStr">
        <is>
          <t>/同步作文/五年级下册/语文/作文辅导/K12/学龄儿童家长</t>
        </is>
      </c>
      <c r="E1935" t="inlineStr">
        <is>
          <t>https://dcn8qexvg13r.feishu.cn/share/base/query/shrcnMqxwwRkV3NUIUxPeab3sec</t>
        </is>
      </c>
      <c r="F1935" t="inlineStr">
        <is>
          <t>请添加微信：k846211</t>
        </is>
      </c>
      <c r="G1935" t="inlineStr">
        <is>
          <t>2026-03-15</t>
        </is>
      </c>
    </row>
    <row r="1936" ht="25.5" customHeight="1">
      <c r="A1936" t="inlineStr">
        <is>
          <t>同步作文六下语文_1767174176636(1).pdf</t>
        </is>
      </c>
      <c r="B1936" s="2" t="str">
        <f>=HYPERLINK("https://pan.quark.cn/s/f8f9f7c27359", "https://pan.quark.cn/s/f8f9f7c27359")</f>
        <v>https://pan.quark.cn/s/f8f9f7c27359</v>
      </c>
      <c r="C1936" t="inlineStr">
        <is>
          <t>60.0MB</t>
        </is>
      </c>
      <c r="D1936" t="inlineStr">
        <is>
          <t>/同步作文/六年级下册/语文/K12/学龄儿童家长</t>
        </is>
      </c>
      <c r="E1936" t="inlineStr">
        <is>
          <t>https://dcn8qexvg13r.feishu.cn/share/base/query/shrcnMqxwwRkV3NUIUxPeab3sec</t>
        </is>
      </c>
      <c r="F1936" t="inlineStr">
        <is>
          <t>请添加微信：k846211</t>
        </is>
      </c>
      <c r="G1936" t="inlineStr">
        <is>
          <t>2026-03-15</t>
        </is>
      </c>
    </row>
    <row r="1937" ht="25.5" customHeight="1">
      <c r="A1937" t="inlineStr">
        <is>
          <t>狮大林</t>
        </is>
      </c>
      <c r="B1937" s="2" t="str">
        <f>=HYPERLINK("https://pan.quark.cn/s/a7f8aeb8863d", "https://pan.quark.cn/s/a7f8aeb8863d")</f>
        <v>https://pan.quark.cn/s/a7f8aeb8863d</v>
      </c>
      <c r="C1937" t="inlineStr">
        <is>
          <t>228.2GB</t>
        </is>
      </c>
      <c r="D1937" t="inlineStr">
        <is>
          <t>/狮大林/其他</t>
        </is>
      </c>
      <c r="E1937" t="inlineStr">
        <is>
          <t>https://dcn8qexvg13r.feishu.cn/share/base/query/shrcnMqxwwRkV3NUIUxPeab3sec</t>
        </is>
      </c>
      <c r="F1937" t="inlineStr">
        <is>
          <t>请添加微信：k846211</t>
        </is>
      </c>
      <c r="G1937" t="inlineStr">
        <is>
          <t>2026-03-15</t>
        </is>
      </c>
    </row>
    <row r="1938" ht="25.5" customHeight="1">
      <c r="A1938" t="inlineStr">
        <is>
          <t>小学学霸速记道法下册</t>
        </is>
      </c>
      <c r="B1938" s="2" t="str">
        <f>=HYPERLINK("https://pan.quark.cn/s/4d3d7f27f0d6", "https://pan.quark.cn/s/4d3d7f27f0d6")</f>
        <v>https://pan.quark.cn/s/4d3d7f27f0d6</v>
      </c>
      <c r="C1938" t="inlineStr">
        <is>
          <t>1.8GB</t>
        </is>
      </c>
      <c r="D1938" t="inlineStr">
        <is>
          <t>/小学道法/速记/学习资料/学霸/K12/学龄儿童家长</t>
        </is>
      </c>
      <c r="E1938" t="inlineStr">
        <is>
          <t>https://dcn8qexvg13r.feishu.cn/share/base/query/shrcnMqxwwRkV3NUIUxPeab3sec</t>
        </is>
      </c>
      <c r="F1938" t="inlineStr">
        <is>
          <t>请添加微信：k846211</t>
        </is>
      </c>
      <c r="G1938" t="inlineStr">
        <is>
          <t>2026-03-15</t>
        </is>
      </c>
    </row>
    <row r="1939" ht="25.5" customHeight="1">
      <c r="A1939" t="inlineStr">
        <is>
          <t>D  笗quuu舂涞(2)</t>
        </is>
      </c>
      <c r="B1939" s="2" t="str">
        <f>=HYPERLINK("https://pan.quark.cn/s/9c12d2b94a0c", "https://pan.quark.cn/s/9c12d2b94a0c")</f>
        <v>https://pan.quark.cn/s/9c12d2b94a0c</v>
      </c>
      <c r="C1939" t="inlineStr">
        <is>
          <t>73.6GB</t>
        </is>
      </c>
      <c r="D1939" t="inlineStr">
        <is>
          <t>/其他</t>
        </is>
      </c>
      <c r="E1939" t="inlineStr">
        <is>
          <t>https://dcn8qexvg13r.feishu.cn/share/base/query/shrcnMqxwwRkV3NUIUxPeab3sec</t>
        </is>
      </c>
      <c r="F1939" t="inlineStr">
        <is>
          <t>请添加微信：k846211</t>
        </is>
      </c>
      <c r="G1939" t="inlineStr">
        <is>
          <t>2026-03-15</t>
        </is>
      </c>
    </row>
    <row r="1940" ht="25.5" customHeight="1">
      <c r="A1940" t="inlineStr">
        <is>
          <t>J  镓 亊 Faaaaaa 侹</t>
        </is>
      </c>
      <c r="B1940" s="2" t="str">
        <f>=HYPERLINK("https://pan.quark.cn/s/b9b7fe44b8f4", "https://pan.quark.cn/s/b9b7fe44b8f4")</f>
        <v>https://pan.quark.cn/s/b9b7fe44b8f4</v>
      </c>
      <c r="C1940" t="inlineStr">
        <is>
          <t>31.2GB</t>
        </is>
      </c>
      <c r="D1940" t="inlineStr">
        <is>
          <t>/其他</t>
        </is>
      </c>
      <c r="E1940" t="inlineStr">
        <is>
          <t>https://dcn8qexvg13r.feishu.cn/share/base/query/shrcnMqxwwRkV3NUIUxPeab3sec</t>
        </is>
      </c>
      <c r="F1940" t="inlineStr">
        <is>
          <t>请添加微信：k846211</t>
        </is>
      </c>
      <c r="G1940" t="inlineStr">
        <is>
          <t>2026-03-15</t>
        </is>
      </c>
    </row>
    <row r="1941" ht="25.5" customHeight="1">
      <c r="A1941" t="inlineStr">
        <is>
          <t>神探李昌钰破案实录</t>
        </is>
      </c>
      <c r="B1941" s="2" t="str">
        <f>=HYPERLINK("https://pan.quark.cn/s/7c29647da345", "https://pan.quark.cn/s/7c29647da345")</f>
        <v>https://pan.quark.cn/s/7c29647da345</v>
      </c>
      <c r="C1941" t="inlineStr">
        <is>
          <t>384.7MB</t>
        </is>
      </c>
      <c r="D1941" t="inlineStr">
        <is>
          <t>/破案实录/李昌钰/纪实文学/犯罪侦查/特定行业从业者/其他</t>
        </is>
      </c>
      <c r="E1941" t="inlineStr">
        <is>
          <t>https://dcn8qexvg13r.feishu.cn/share/base/query/shrcnMqxwwRkV3NUIUxPeab3sec</t>
        </is>
      </c>
      <c r="F1941" t="inlineStr">
        <is>
          <t>请添加微信：k846211</t>
        </is>
      </c>
      <c r="G1941" t="inlineStr">
        <is>
          <t>2026-03-15</t>
        </is>
      </c>
    </row>
    <row r="1942" ht="25.5" customHeight="1">
      <c r="A1942" t="inlineStr">
        <is>
          <t>张雪峰老师直播特辑（持续更新中）</t>
        </is>
      </c>
      <c r="B1942" s="2" t="str">
        <f>=HYPERLINK("https://pan.quark.cn/s/867b341ac8d4", "https://pan.quark.cn/s/867b341ac8d4")</f>
        <v>https://pan.quark.cn/s/867b341ac8d4</v>
      </c>
      <c r="C1942" t="inlineStr">
        <is>
          <t>20.2GB</t>
        </is>
      </c>
      <c r="D1942" t="inlineStr">
        <is>
          <t>/张雪峰/直播/教育咨询/持续更新/考研/考公/考证党/大学生</t>
        </is>
      </c>
      <c r="E1942" t="inlineStr">
        <is>
          <t>https://dcn8qexvg13r.feishu.cn/share/base/query/shrcnMqxwwRkV3NUIUxPeab3sec</t>
        </is>
      </c>
      <c r="F1942" t="inlineStr">
        <is>
          <t>请添加微信：k846211</t>
        </is>
      </c>
      <c r="G1942" t="inlineStr">
        <is>
          <t>2026-03-15</t>
        </is>
      </c>
    </row>
    <row r="1943" ht="25.5" customHeight="1">
      <c r="A1943" t="inlineStr">
        <is>
          <t>高思导引3-6年级分类题目汇总word打印版</t>
        </is>
      </c>
      <c r="B1943" s="2" t="str">
        <f>=HYPERLINK("https://pan.quark.cn/s/84dc139e9134", "https://pan.quark.cn/s/84dc139e9134")</f>
        <v>https://pan.quark.cn/s/84dc139e9134</v>
      </c>
      <c r="C1943" t="inlineStr">
        <is>
          <t>15.3MB</t>
        </is>
      </c>
      <c r="D1943" t="inlineStr">
        <is>
          <t>/高思导引/3-6年级/分类题目汇总/word打印版/K12/学龄儿童家长</t>
        </is>
      </c>
      <c r="E1943" t="inlineStr">
        <is>
          <t>https://dcn8qexvg13r.feishu.cn/share/base/query/shrcnMqxwwRkV3NUIUxPeab3sec</t>
        </is>
      </c>
      <c r="F1943" t="inlineStr">
        <is>
          <t>请添加微信：k846211</t>
        </is>
      </c>
      <c r="G1943" t="inlineStr">
        <is>
          <t>2026-03-15</t>
        </is>
      </c>
    </row>
    <row r="1944" ht="25.5" customHeight="1">
      <c r="A1944" t="inlineStr">
        <is>
          <t>高思导引最新2025</t>
        </is>
      </c>
      <c r="B1944" s="2" t="str">
        <f>=HYPERLINK("https://pan.quark.cn/s/cf4c3c4bcd46", "https://pan.quark.cn/s/cf4c3c4bcd46")</f>
        <v>https://pan.quark.cn/s/cf4c3c4bcd46</v>
      </c>
      <c r="C1944" t="inlineStr">
        <is>
          <t>53.9GB</t>
        </is>
      </c>
      <c r="D1944" t="inlineStr">
        <is>
          <t>/高思导引/2025/教辅/小学数学/K12/学龄儿童家长</t>
        </is>
      </c>
      <c r="E1944" t="inlineStr">
        <is>
          <t>https://dcn8qexvg13r.feishu.cn/share/base/query/shrcnMqxwwRkV3NUIUxPeab3sec</t>
        </is>
      </c>
      <c r="F1944" t="inlineStr">
        <is>
          <t>请添加微信：k846211</t>
        </is>
      </c>
      <c r="G1944" t="inlineStr">
        <is>
          <t>2026-03-15</t>
        </is>
      </c>
    </row>
    <row r="1945" ht="25.5" customHeight="1">
      <c r="A1945" t="inlineStr">
        <is>
          <t>【高思爱学习】小学数学《创新提高课程》</t>
        </is>
      </c>
      <c r="B1945" s="2" t="str">
        <f>=HYPERLINK("https://pan.quark.cn/s/d0e5cd5fe10f", "https://pan.quark.cn/s/d0e5cd5fe10f")</f>
        <v>https://pan.quark.cn/s/d0e5cd5fe10f</v>
      </c>
      <c r="C1945" t="inlineStr">
        <is>
          <t>81.5GB</t>
        </is>
      </c>
      <c r="D1945" t="inlineStr">
        <is>
          <t>/小学数学/创新提高/课程/高思爱学习/K12/学龄儿童家长</t>
        </is>
      </c>
      <c r="E1945" t="inlineStr">
        <is>
          <t>https://dcn8qexvg13r.feishu.cn/share/base/query/shrcnMqxwwRkV3NUIUxPeab3sec</t>
        </is>
      </c>
      <c r="F1945" t="inlineStr">
        <is>
          <t>请添加微信：k846211</t>
        </is>
      </c>
      <c r="G1945" t="inlineStr">
        <is>
          <t>2026-03-15</t>
        </is>
      </c>
    </row>
    <row r="1946" ht="25.5" customHeight="1">
      <c r="A1946" t="inlineStr">
        <is>
          <t>高思竟赛数学课本3-6年级【完美版新版 欧阳越讲解】</t>
        </is>
      </c>
      <c r="B1946" s="2" t="str">
        <f>=HYPERLINK("https://pan.quark.cn/s/60bff9a81c3d", "https://pan.quark.cn/s/60bff9a81c3d")</f>
        <v>https://pan.quark.cn/s/60bff9a81c3d</v>
      </c>
      <c r="C1946" t="inlineStr">
        <is>
          <t>16.6GB</t>
        </is>
      </c>
      <c r="D1946" t="inlineStr">
        <is>
          <t>/竞赛数学/课本/3-6年级/欧阳越讲解/K12/学龄儿童家长</t>
        </is>
      </c>
      <c r="E1946" t="inlineStr">
        <is>
          <t>https://dcn8qexvg13r.feishu.cn/share/base/query/shrcnMqxwwRkV3NUIUxPeab3sec</t>
        </is>
      </c>
      <c r="F1946" t="inlineStr">
        <is>
          <t>请添加微信：k846211</t>
        </is>
      </c>
      <c r="G1946" t="inlineStr">
        <is>
          <t>2026-03-15</t>
        </is>
      </c>
    </row>
    <row r="1947" ht="25.5" customHeight="1">
      <c r="A1947" t="inlineStr">
        <is>
          <t>B 苩 曰 Tii 灯~~~~~~</t>
        </is>
      </c>
      <c r="B1947" s="2" t="str">
        <f>=HYPERLINK("https://pan.quark.cn/s/7fda3e3fdd21", "https://pan.quark.cn/s/7fda3e3fdd21")</f>
        <v>https://pan.quark.cn/s/7fda3e3fdd21</v>
      </c>
      <c r="C1947" t="inlineStr">
        <is>
          <t>6.6GB</t>
        </is>
      </c>
      <c r="D1947" t="inlineStr">
        <is>
          <t>/LED灯/照明设备/家居照明/设计素材/设计素材/特定行业从业者</t>
        </is>
      </c>
      <c r="E1947" t="inlineStr">
        <is>
          <t>https://dcn8qexvg13r.feishu.cn/share/base/query/shrcnMqxwwRkV3NUIUxPeab3sec</t>
        </is>
      </c>
      <c r="F1947" t="inlineStr">
        <is>
          <t>请添加微信：k846211</t>
        </is>
      </c>
      <c r="G1947" t="inlineStr">
        <is>
          <t>2026-03-15</t>
        </is>
      </c>
    </row>
    <row r="1948" ht="25.5" customHeight="1">
      <c r="A1948" t="inlineStr">
        <is>
          <t>友邻优课丨哲学的故事-现场版（完结）</t>
        </is>
      </c>
      <c r="B1948" s="2" t="str">
        <f>=HYPERLINK("https://pan.quark.cn/s/d415e76ce8e6", "https://pan.quark.cn/s/d415e76ce8e6")</f>
        <v>https://pan.quark.cn/s/d415e76ce8e6</v>
      </c>
      <c r="C1948" t="inlineStr">
        <is>
          <t>6.8GB</t>
        </is>
      </c>
      <c r="D1948" t="inlineStr">
        <is>
          <t>/哲学/课程/现场版/白领/大学生</t>
        </is>
      </c>
      <c r="E1948" t="inlineStr">
        <is>
          <t>https://dcn8qexvg13r.feishu.cn/share/base/query/shrcnMqxwwRkV3NUIUxPeab3sec</t>
        </is>
      </c>
      <c r="F1948" t="inlineStr">
        <is>
          <t>请添加微信：k846211</t>
        </is>
      </c>
      <c r="G1948" t="inlineStr">
        <is>
          <t>2026-03-15</t>
        </is>
      </c>
    </row>
    <row r="1949" ht="25.5" customHeight="1">
      <c r="A1949" t="inlineStr">
        <is>
          <t>友邻优课丨哲学的故事（APP版）</t>
        </is>
      </c>
      <c r="B1949" s="2" t="str">
        <f>=HYPERLINK("https://pan.quark.cn/s/2b62de73271b", "https://pan.quark.cn/s/2b62de73271b")</f>
        <v>https://pan.quark.cn/s/2b62de73271b</v>
      </c>
      <c r="C1949" t="inlineStr">
        <is>
          <t>1.1GB</t>
        </is>
      </c>
      <c r="D1949" t="inlineStr">
        <is>
          <t>/哲学/课程/APP/知识学习/大学生/白领</t>
        </is>
      </c>
      <c r="E1949" t="inlineStr">
        <is>
          <t>https://dcn8qexvg13r.feishu.cn/share/base/query/shrcnMqxwwRkV3NUIUxPeab3sec</t>
        </is>
      </c>
      <c r="F1949" t="inlineStr">
        <is>
          <t>请添加微信：k846211</t>
        </is>
      </c>
      <c r="G1949" t="inlineStr">
        <is>
          <t>2026-03-15</t>
        </is>
      </c>
    </row>
    <row r="1950" ht="25.5" customHeight="1">
      <c r="A1950" t="inlineStr">
        <is>
          <t>✅认识世界：古代与中世纪哲学</t>
        </is>
      </c>
      <c r="B1950" s="2" t="str">
        <f>=HYPERLINK("https://pan.quark.cn/s/ad71a4bae97b", "https://pan.quark.cn/s/ad71a4bae97b")</f>
        <v>https://pan.quark.cn/s/ad71a4bae97b</v>
      </c>
      <c r="C1950" t="inlineStr">
        <is>
          <t>9.6MB</t>
        </is>
      </c>
      <c r="D1950" t="inlineStr">
        <is>
          <t>/古代哲学/中世纪哲学/认识世界/哲学入门/大学生/考研/考公/考证党</t>
        </is>
      </c>
      <c r="E1950" t="inlineStr">
        <is>
          <t>https://dcn8qexvg13r.feishu.cn/share/base/query/shrcnMqxwwRkV3NUIUxPeab3sec</t>
        </is>
      </c>
      <c r="F1950" t="inlineStr">
        <is>
          <t>请添加微信：k846211</t>
        </is>
      </c>
      <c r="G1950" t="inlineStr">
        <is>
          <t>2026-03-15</t>
        </is>
      </c>
    </row>
    <row r="1951" ht="25.5" customHeight="1">
      <c r="A1951" t="inlineStr">
        <is>
          <t>六下语文每日词语默写单1-8单元.pdf</t>
        </is>
      </c>
      <c r="B1951" s="2" t="str">
        <f>=HYPERLINK("https://pan.quark.cn/s/68b2253bd035", "https://pan.quark.cn/s/68b2253bd035")</f>
        <v>https://pan.quark.cn/s/68b2253bd035</v>
      </c>
      <c r="C1951" t="inlineStr">
        <is>
          <t>26.1MB</t>
        </is>
      </c>
      <c r="D1951" t="inlineStr">
        <is>
          <t>/六下语文/词语默写/每日练习/单元练习/K12/学龄儿童家长</t>
        </is>
      </c>
      <c r="E1951" t="inlineStr">
        <is>
          <t>https://dcn8qexvg13r.feishu.cn/share/base/query/shrcnMqxwwRkV3NUIUxPeab3sec</t>
        </is>
      </c>
      <c r="F1951" t="inlineStr">
        <is>
          <t>请添加微信：k846211</t>
        </is>
      </c>
      <c r="G1951" t="inlineStr">
        <is>
          <t>2026-03-15</t>
        </is>
      </c>
    </row>
    <row r="1952" ht="25.5" customHeight="1">
      <c r="A1952" t="inlineStr">
        <is>
          <t>梁老师初中数学全年级多版本课程合集（220G）</t>
        </is>
      </c>
      <c r="B1952" s="2" t="str">
        <f>=HYPERLINK("https://pan.quark.cn/s/7c2533007896", "https://pan.quark.cn/s/7c2533007896")</f>
        <v>https://pan.quark.cn/s/7c2533007896</v>
      </c>
      <c r="C1952" t="inlineStr">
        <is>
          <t>1.2TB</t>
        </is>
      </c>
      <c r="D1952" t="inlineStr">
        <is>
          <t>/初中数学/多版本课程/梁老师/K12/学龄儿童家长</t>
        </is>
      </c>
      <c r="E1952" t="inlineStr">
        <is>
          <t>https://dcn8qexvg13r.feishu.cn/share/base/query/shrcnMqxwwRkV3NUIUxPeab3sec</t>
        </is>
      </c>
      <c r="F1952" t="inlineStr">
        <is>
          <t>请添加微信：k846211</t>
        </is>
      </c>
      <c r="G1952" t="inlineStr">
        <is>
          <t>2026-03-15</t>
        </is>
      </c>
    </row>
    <row r="1953" ht="25.5" customHeight="1">
      <c r="A1953" t="inlineStr">
        <is>
          <t>书法练字资源1️⃣</t>
        </is>
      </c>
      <c r="B1953" s="2" t="str">
        <f>=HYPERLINK("https://pan.quark.cn/s/cb36676388d0", "https://pan.quark.cn/s/cb36676388d0")</f>
        <v>https://pan.quark.cn/s/cb36676388d0</v>
      </c>
      <c r="C1953" t="inlineStr">
        <is>
          <t>440.6GB</t>
        </is>
      </c>
      <c r="D1953" t="inlineStr">
        <is>
          <t>/书法/练字/技能入门/K12/宝妈/家长群体</t>
        </is>
      </c>
      <c r="E1953" t="inlineStr">
        <is>
          <t>https://dcn8qexvg13r.feishu.cn/share/base/query/shrcnMqxwwRkV3NUIUxPeab3sec</t>
        </is>
      </c>
      <c r="F1953" t="inlineStr">
        <is>
          <t>请添加微信：k846211</t>
        </is>
      </c>
      <c r="G1953" t="inlineStr">
        <is>
          <t>2026-03-15</t>
        </is>
      </c>
    </row>
    <row r="1954" ht="25.5" customHeight="1">
      <c r="A1954" t="inlineStr">
        <is>
          <t>🎨儿童美术课及创意绘画课程合集（112G）</t>
        </is>
      </c>
      <c r="B1954" s="2" t="str">
        <f>=HYPERLINK("https://pan.quark.cn/s/d0ebe723dfd9", "https://pan.quark.cn/s/d0ebe723dfd9")</f>
        <v>https://pan.quark.cn/s/d0ebe723dfd9</v>
      </c>
      <c r="C1954" t="inlineStr">
        <is>
          <t>459.2GB</t>
        </is>
      </c>
      <c r="D1954" t="inlineStr">
        <is>
          <t>/儿童美术/创意绘画/课程/宝妈/家长群体/学龄儿童家长</t>
        </is>
      </c>
      <c r="E1954" t="inlineStr">
        <is>
          <t>https://dcn8qexvg13r.feishu.cn/share/base/query/shrcnMqxwwRkV3NUIUxPeab3sec</t>
        </is>
      </c>
      <c r="F1954" t="inlineStr">
        <is>
          <t>请添加微信：k846211</t>
        </is>
      </c>
      <c r="G1954" t="inlineStr">
        <is>
          <t>2026-03-15</t>
        </is>
      </c>
    </row>
    <row r="1955" ht="25.5" customHeight="1">
      <c r="A1955" t="inlineStr">
        <is>
          <t>渤海小吏</t>
        </is>
      </c>
      <c r="B1955" s="2" t="str">
        <f>=HYPERLINK("https://pan.quark.cn/s/ee2db51d41a6", "https://pan.quark.cn/s/ee2db51d41a6")</f>
        <v>https://pan.quark.cn/s/ee2db51d41a6</v>
      </c>
      <c r="C1955" t="inlineStr">
        <is>
          <t>707.7GB</t>
        </is>
      </c>
      <c r="D1955" t="inlineStr">
        <is>
          <t>/历史/通俗读物/历史科普/历史解读/大学生/考研/考公/考证党</t>
        </is>
      </c>
      <c r="E1955" t="inlineStr">
        <is>
          <t>https://dcn8qexvg13r.feishu.cn/share/base/query/shrcnMqxwwRkV3NUIUxPeab3sec</t>
        </is>
      </c>
      <c r="F1955" t="inlineStr">
        <is>
          <t>请添加微信：k846211</t>
        </is>
      </c>
      <c r="G1955" t="inlineStr">
        <is>
          <t>2026-03-15</t>
        </is>
      </c>
    </row>
    <row r="1956" ht="25.5" customHeight="1">
      <c r="A1956" t="inlineStr">
        <is>
          <t>易中天中华史</t>
        </is>
      </c>
      <c r="B1956" s="2" t="str">
        <f>=HYPERLINK("https://pan.quark.cn/s/d698f340e78a", "https://pan.quark.cn/s/d698f340e78a")</f>
        <v>https://pan.quark.cn/s/d698f340e78a</v>
      </c>
      <c r="C1956" t="inlineStr">
        <is>
          <t>107.9GB</t>
        </is>
      </c>
      <c r="D1956" t="inlineStr">
        <is>
          <t>/中华史/历史/通俗读物/易中天/大学生/白领</t>
        </is>
      </c>
      <c r="E1956" t="inlineStr">
        <is>
          <t>https://dcn8qexvg13r.feishu.cn/share/base/query/shrcnMqxwwRkV3NUIUxPeab3sec</t>
        </is>
      </c>
      <c r="F1956" t="inlineStr">
        <is>
          <t>请添加微信：k846211</t>
        </is>
      </c>
      <c r="G1956" t="inlineStr">
        <is>
          <t>2026-03-15</t>
        </is>
      </c>
    </row>
    <row r="1957" ht="25.5" customHeight="1">
      <c r="A1957" t="inlineStr">
        <is>
          <t>黑科技破解软件大全永久免费开源版</t>
        </is>
      </c>
      <c r="B1957" s="2" t="str">
        <f>=HYPERLINK("https://pan.quark.cn/s/79f6ca95ebf1", "https://pan.quark.cn/s/79f6ca95ebf1")</f>
        <v>https://pan.quark.cn/s/79f6ca95ebf1</v>
      </c>
      <c r="C1957" t="inlineStr">
        <is>
          <t>810.8GB</t>
        </is>
      </c>
      <c r="D1957" t="inlineStr">
        <is>
          <t>/黑科技/破解软件/永久免费/开源/其他</t>
        </is>
      </c>
      <c r="E1957" t="inlineStr">
        <is>
          <t>https://dcn8qexvg13r.feishu.cn/share/base/query/shrcnMqxwwRkV3NUIUxPeab3sec</t>
        </is>
      </c>
      <c r="F1957" t="inlineStr">
        <is>
          <t>请添加微信：k846211</t>
        </is>
      </c>
      <c r="G1957" t="inlineStr">
        <is>
          <t>2026-03-15</t>
        </is>
      </c>
    </row>
    <row r="1958" ht="25.5" customHeight="1">
      <c r="A1958" t="inlineStr">
        <is>
          <t>黑科技破解软件大全永久免费开源版</t>
        </is>
      </c>
      <c r="B1958" s="2" t="str">
        <f>=HYPERLINK("https://pan.quark.cn/s/1a22ea6374ae", "https://pan.quark.cn/s/1a22ea6374ae")</f>
        <v>https://pan.quark.cn/s/1a22ea6374ae</v>
      </c>
      <c r="C1958" t="inlineStr">
        <is>
          <t>810.8GB</t>
        </is>
      </c>
      <c r="D1958" t="inlineStr">
        <is>
          <t>/破解软件/永久免费/开源/软件工具/其他</t>
        </is>
      </c>
      <c r="E1958" t="inlineStr">
        <is>
          <t>https://dcn8qexvg13r.feishu.cn/share/base/query/shrcnMqxwwRkV3NUIUxPeab3sec</t>
        </is>
      </c>
      <c r="F1958" t="inlineStr">
        <is>
          <t>请添加微信：k846211</t>
        </is>
      </c>
      <c r="G1958" t="inlineStr">
        <is>
          <t>2026-03-15</t>
        </is>
      </c>
    </row>
    <row r="1959" ht="25.5" customHeight="1">
      <c r="A1959" t="inlineStr">
        <is>
          <t>两性课程</t>
        </is>
      </c>
      <c r="B1959" s="2" t="str">
        <f>=HYPERLINK("https://pan.quark.cn/s/a5eb38bdc37a", "https://pan.quark.cn/s/a5eb38bdc37a")</f>
        <v>https://pan.quark.cn/s/a5eb38bdc37a</v>
      </c>
      <c r="C1959" t="inlineStr">
        <is>
          <t>51.6GB</t>
        </is>
      </c>
      <c r="D1959" t="inlineStr">
        <is>
          <t>/两性关系/课程/情感认知/大学生/白领</t>
        </is>
      </c>
      <c r="E1959" t="inlineStr">
        <is>
          <t>https://dcn8qexvg13r.feishu.cn/share/base/query/shrcnMqxwwRkV3NUIUxPeab3sec</t>
        </is>
      </c>
      <c r="F1959" t="inlineStr">
        <is>
          <t>请添加微信：k846211</t>
        </is>
      </c>
      <c r="G1959" t="inlineStr">
        <is>
          <t>2026-03-30</t>
        </is>
      </c>
    </row>
    <row r="1960" ht="25.5" customHeight="1">
      <c r="A1960" t="inlineStr">
        <is>
          <t>各类书籍</t>
        </is>
      </c>
      <c r="B1960" s="2" t="str">
        <f>=HYPERLINK("https://pan.quark.cn/s/42780d3eba25", "https://pan.quark.cn/s/42780d3eba25")</f>
        <v>https://pan.quark.cn/s/42780d3eba25</v>
      </c>
      <c r="C1960" t="inlineStr">
        <is>
          <t>92.3GB</t>
        </is>
      </c>
      <c r="D1960" t="inlineStr">
        <is>
          <t>/书籍/知识获取/阅读学习/信息拓展/其他</t>
        </is>
      </c>
      <c r="E1960" t="inlineStr">
        <is>
          <t>https://dcn8qexvg13r.feishu.cn/share/base/query/shrcnMqxwwRkV3NUIUxPeab3sec</t>
        </is>
      </c>
      <c r="F1960" t="inlineStr">
        <is>
          <t>请添加微信：k846211</t>
        </is>
      </c>
      <c r="G1960" t="inlineStr">
        <is>
          <t>2026-03-30</t>
        </is>
      </c>
    </row>
    <row r="1961" ht="25.5" customHeight="1">
      <c r="A1961" t="inlineStr">
        <is>
          <t>安卓游戏大合集（已分类）</t>
        </is>
      </c>
      <c r="B1961" s="2" t="str">
        <f>=HYPERLINK("https://pan.quark.cn/s/94d37e455c5f", "https://pan.quark.cn/s/94d37e455c5f")</f>
        <v>https://pan.quark.cn/s/94d37e455c5f</v>
      </c>
      <c r="C1961" t="inlineStr">
        <is>
          <t>67.2GB</t>
        </is>
      </c>
      <c r="D1961" t="inlineStr">
        <is>
          <t>/安卓/游戏/分类/游戏</t>
        </is>
      </c>
      <c r="E1961" t="inlineStr">
        <is>
          <t>https://dcn8qexvg13r.feishu.cn/share/base/query/shrcnMqxwwRkV3NUIUxPeab3sec</t>
        </is>
      </c>
      <c r="F1961" t="inlineStr">
        <is>
          <t>请添加微信：k846211</t>
        </is>
      </c>
      <c r="G1961" t="inlineStr">
        <is>
          <t>2026-03-30</t>
        </is>
      </c>
    </row>
    <row r="1962" ht="25.5" customHeight="1">
      <c r="A1962" t="inlineStr">
        <is>
          <t>26春小学学霸作业本人教版数学</t>
        </is>
      </c>
      <c r="B1962" s="2" t="str">
        <f>=HYPERLINK("https://pan.quark.cn/s/adf14ea945ca", "https://pan.quark.cn/s/adf14ea945ca")</f>
        <v>https://pan.quark.cn/s/adf14ea945ca</v>
      </c>
      <c r="C1962" t="inlineStr">
        <is>
          <t>3.5GB</t>
        </is>
      </c>
      <c r="D1962" t="inlineStr">
        <is>
          <t>/小学数学/学霸作业本/人教版/练习册/K12/学龄儿童家长</t>
        </is>
      </c>
      <c r="E1962" t="inlineStr">
        <is>
          <t>https://dcn8qexvg13r.feishu.cn/share/base/query/shrcnMqxwwRkV3NUIUxPeab3sec</t>
        </is>
      </c>
      <c r="F1962" t="inlineStr">
        <is>
          <t>请添加微信：k846211</t>
        </is>
      </c>
      <c r="G1962" t="inlineStr">
        <is>
          <t>2026-03-30</t>
        </is>
      </c>
    </row>
    <row r="1963" ht="25.5" customHeight="1">
      <c r="A1963" t="inlineStr">
        <is>
          <t>博雅小学堂</t>
        </is>
      </c>
      <c r="B1963" s="2" t="str">
        <f>=HYPERLINK("https://pan.quark.cn/s/a0a4c117f645", "https://pan.quark.cn/s/a0a4c117f645")</f>
        <v>https://pan.quark.cn/s/a0a4c117f645</v>
      </c>
      <c r="C1963" t="inlineStr">
        <is>
          <t>637.5MB</t>
        </is>
      </c>
      <c r="D1963" t="inlineStr">
        <is>
          <t>/小学教育/儿童启蒙/在线学堂/素质教育/K12/学龄儿童家长</t>
        </is>
      </c>
      <c r="E1963" t="inlineStr">
        <is>
          <t>https://dcn8qexvg13r.feishu.cn/share/base/query/shrcnMqxwwRkV3NUIUxPeab3sec</t>
        </is>
      </c>
      <c r="F1963" t="inlineStr">
        <is>
          <t>请添加微信：k846211</t>
        </is>
      </c>
      <c r="G1963" t="inlineStr">
        <is>
          <t>2026-03-30</t>
        </is>
      </c>
    </row>
    <row r="1964" ht="25.5" customHeight="1">
      <c r="A1964" t="inlineStr">
        <is>
          <t>最新热门抖音付费课程合集【154G】(1)</t>
        </is>
      </c>
      <c r="B1964" s="2" t="str">
        <f>=HYPERLINK("https://pan.quark.cn/s/8a4ba005a0ca", "https://pan.quark.cn/s/8a4ba005a0ca")</f>
        <v>https://pan.quark.cn/s/8a4ba005a0ca</v>
      </c>
      <c r="C1964" t="inlineStr">
        <is>
          <t>154.0GB</t>
        </is>
      </c>
      <c r="D1964" t="inlineStr">
        <is>
          <t>/抖音/付费课程/热门/技能入门/白领/技能入门</t>
        </is>
      </c>
      <c r="E1964" t="inlineStr">
        <is>
          <t>https://dcn8qexvg13r.feishu.cn/share/base/query/shrcnMqxwwRkV3NUIUxPeab3sec</t>
        </is>
      </c>
      <c r="F1964" t="inlineStr">
        <is>
          <t>请添加微信：k846211</t>
        </is>
      </c>
      <c r="G1964" t="inlineStr">
        <is>
          <t>2026-03-30</t>
        </is>
      </c>
    </row>
    <row r="1965" ht="25.5" customHeight="1">
      <c r="A1965" t="inlineStr">
        <is>
          <t>数学《王朝霞 单元活页卷》苏教 25秋</t>
        </is>
      </c>
      <c r="B1965" s="2" t="str">
        <f>=HYPERLINK("https://pan.quark.cn/s/8fc736f43b46", "https://pan.quark.cn/s/8fc736f43b46")</f>
        <v>https://pan.quark.cn/s/8fc736f43b46</v>
      </c>
      <c r="C1965" t="inlineStr">
        <is>
          <t>368.5MB</t>
        </is>
      </c>
      <c r="D1965" t="inlineStr">
        <is>
          <t>/数学/单元活页卷/苏教版/王朝霞/K12/学龄儿童家长</t>
        </is>
      </c>
      <c r="E1965" t="inlineStr">
        <is>
          <t>https://dcn8qexvg13r.feishu.cn/share/base/query/shrcnMqxwwRkV3NUIUxPeab3sec</t>
        </is>
      </c>
      <c r="F1965" t="inlineStr">
        <is>
          <t>请添加微信：k846211</t>
        </is>
      </c>
      <c r="G1965" t="inlineStr">
        <is>
          <t>2026-03-30</t>
        </is>
      </c>
    </row>
    <row r="1966" ht="25.5" customHeight="1">
      <c r="A1966" t="inlineStr">
        <is>
          <t>王朝霞考点梳理时习卷六年级下册数学苏教版电子样书.pdf</t>
        </is>
      </c>
      <c r="B1966" s="2" t="str">
        <f>=HYPERLINK("https://pan.quark.cn/s/e26af4d6c7c3", "https://pan.quark.cn/s/e26af4d6c7c3")</f>
        <v>https://pan.quark.cn/s/e26af4d6c7c3</v>
      </c>
      <c r="C1966" t="inlineStr">
        <is>
          <t>1.6MB</t>
        </is>
      </c>
      <c r="D1966" t="inlineStr">
        <is>
          <t>/六年级数学/苏教版/考点梳理/时习卷/K12/学龄儿童家长</t>
        </is>
      </c>
      <c r="E1966" t="inlineStr">
        <is>
          <t>https://dcn8qexvg13r.feishu.cn/share/base/query/shrcnMqxwwRkV3NUIUxPeab3sec</t>
        </is>
      </c>
      <c r="F1966" t="inlineStr">
        <is>
          <t>请添加微信：k846211</t>
        </is>
      </c>
      <c r="G1966" t="inlineStr">
        <is>
          <t>2026-03-30</t>
        </is>
      </c>
    </row>
    <row r="1967" ht="25.5" customHeight="1">
      <c r="A1967" t="inlineStr">
        <is>
          <t>《小学教材全解精析》1-6年级</t>
        </is>
      </c>
      <c r="B1967" s="2" t="str">
        <f>=HYPERLINK("https://pan.quark.cn/s/587229b8ed11", "https://pan.quark.cn/s/587229b8ed11")</f>
        <v>https://pan.quark.cn/s/587229b8ed11</v>
      </c>
      <c r="C1967" t="inlineStr">
        <is>
          <t>1.4GB</t>
        </is>
      </c>
      <c r="D1967" t="inlineStr">
        <is>
          <t>/小学教材/全解精析/1-6年级/K12/学龄儿童家长</t>
        </is>
      </c>
      <c r="E1967" t="inlineStr">
        <is>
          <t>https://dcn8qexvg13r.feishu.cn/share/base/query/shrcnMqxwwRkV3NUIUxPeab3sec</t>
        </is>
      </c>
      <c r="F1967" t="inlineStr">
        <is>
          <t>请添加微信：k846211</t>
        </is>
      </c>
      <c r="G1967" t="inlineStr">
        <is>
          <t>2026-03-30</t>
        </is>
      </c>
    </row>
    <row r="1968" ht="25.5" customHeight="1">
      <c r="A1968" t="inlineStr">
        <is>
          <t>国家中小学智慧教育平台电子教材全套</t>
        </is>
      </c>
      <c r="B1968" s="2" t="str">
        <f>=HYPERLINK("https://pan.quark.cn/s/c51dba6cae22", "https://pan.quark.cn/s/c51dba6cae22")</f>
        <v>https://pan.quark.cn/s/c51dba6cae22</v>
      </c>
      <c r="C1968" t="inlineStr">
        <is>
          <t>1.6MB</t>
        </is>
      </c>
      <c r="D1968" t="inlineStr">
        <is>
          <t>/中小学教育/电子教材/智慧教育/K12/家长群体</t>
        </is>
      </c>
      <c r="E1968" t="inlineStr">
        <is>
          <t>https://dcn8qexvg13r.feishu.cn/share/base/query/shrcnMqxwwRkV3NUIUxPeab3sec</t>
        </is>
      </c>
      <c r="F1968" t="inlineStr">
        <is>
          <t>请添加微信：k846211</t>
        </is>
      </c>
      <c r="G1968" t="inlineStr">
        <is>
          <t>2026-03-30</t>
        </is>
      </c>
    </row>
    <row r="1969" ht="25.5" customHeight="1">
      <c r="A1969" t="inlineStr">
        <is>
          <t>【小学资料】25秋数学上册人教苏教北师青岛63青岛54北京西师版《典中点》（抢先版）一二三三四五六</t>
        </is>
      </c>
      <c r="B1969" s="2" t="str">
        <f>=HYPERLINK("https://pan.quark.cn/s/d0945cbb0b68", "https://pan.quark.cn/s/d0945cbb0b68")</f>
        <v>https://pan.quark.cn/s/d0945cbb0b68</v>
      </c>
      <c r="C1969" t="inlineStr">
        <is>
          <t>2.5GB</t>
        </is>
      </c>
      <c r="D1969" t="inlineStr">
        <is>
          <t>/小学数学/典中点/同步练习/一二三四年级/五六年级/K12/学龄儿童家长</t>
        </is>
      </c>
      <c r="E1969" t="inlineStr">
        <is>
          <t>https://dcn8qexvg13r.feishu.cn/share/base/query/shrcnMqxwwRkV3NUIUxPeab3sec</t>
        </is>
      </c>
      <c r="F1969" t="inlineStr">
        <is>
          <t>请添加微信：k846211</t>
        </is>
      </c>
      <c r="G1969" t="inlineStr">
        <is>
          <t>2026-03-30</t>
        </is>
      </c>
    </row>
    <row r="1970" ht="25.5" customHeight="1">
      <c r="A1970" t="inlineStr">
        <is>
          <t>25春苏教版数学拔尖特训，2-6年级下册同步提升训练</t>
        </is>
      </c>
      <c r="B1970" s="2" t="str">
        <f>=HYPERLINK("https://pan.quark.cn/s/d438c6b80d37", "https://pan.quark.cn/s/d438c6b80d37")</f>
        <v>https://pan.quark.cn/s/d438c6b80d37</v>
      </c>
      <c r="C1970" t="inlineStr">
        <is>
          <t>559.8MB</t>
        </is>
      </c>
      <c r="D1970" t="inlineStr">
        <is>
          <t>/苏教版数学/2-6年级下册/同步提升训练/拔尖特训/K12/学龄儿童家长</t>
        </is>
      </c>
      <c r="E1970" t="inlineStr">
        <is>
          <t>https://dcn8qexvg13r.feishu.cn/share/base/query/shrcnMqxwwRkV3NUIUxPeab3sec</t>
        </is>
      </c>
      <c r="F1970" t="inlineStr">
        <is>
          <t>请添加微信：k846211</t>
        </is>
      </c>
      <c r="G1970" t="inlineStr">
        <is>
          <t>2026-03-30</t>
        </is>
      </c>
    </row>
    <row r="1971" ht="25.5" customHeight="1">
      <c r="A1971" t="inlineStr">
        <is>
          <t>艾诚：人物传记50讲带你阅人无数(完结）</t>
        </is>
      </c>
      <c r="B1971" s="2" t="str">
        <f>=HYPERLINK("https://pan.quark.cn/s/b61904ee4a3d", "https://pan.quark.cn/s/b61904ee4a3d")</f>
        <v>https://pan.quark.cn/s/b61904ee4a3d</v>
      </c>
      <c r="C1971" t="inlineStr">
        <is>
          <t>514.1MB</t>
        </is>
      </c>
      <c r="D1971" t="inlineStr">
        <is>
          <t>/人物传记/阅人/艾诚/职场进阶/白领/管理者</t>
        </is>
      </c>
      <c r="E1971" t="inlineStr">
        <is>
          <t>https://dcn8qexvg13r.feishu.cn/share/base/query/shrcnMqxwwRkV3NUIUxPeab3sec</t>
        </is>
      </c>
      <c r="F1971" t="inlineStr">
        <is>
          <t>请添加微信：k846211</t>
        </is>
      </c>
      <c r="G1971" t="inlineStr">
        <is>
          <t>2026-03-30</t>
        </is>
      </c>
    </row>
    <row r="1972" ht="25.5" customHeight="1">
      <c r="A1972" t="inlineStr">
        <is>
          <t>第6章 dlib ubuntu环境搭建</t>
        </is>
      </c>
      <c r="B1972" s="2" t="str">
        <f>=HYPERLINK("https://pan.quark.cn/s/bd305fb1d227", "https://pan.quark.cn/s/bd305fb1d227")</f>
        <v>https://pan.quark.cn/s/bd305fb1d227</v>
      </c>
      <c r="C1972" t="inlineStr">
        <is>
          <t>386.5MB</t>
        </is>
      </c>
      <c r="D1972" t="inlineStr">
        <is>
          <t>/dlib/ubuntu/环境搭建/编程/编程</t>
        </is>
      </c>
      <c r="E1972" t="inlineStr">
        <is>
          <t>https://dcn8qexvg13r.feishu.cn/share/base/query/shrcnMqxwwRkV3NUIUxPeab3sec</t>
        </is>
      </c>
      <c r="F1972" t="inlineStr">
        <is>
          <t>请添加微信：k846211</t>
        </is>
      </c>
      <c r="G1972" t="inlineStr">
        <is>
          <t>2026-03-30</t>
        </is>
      </c>
    </row>
    <row r="1973" ht="25.5" customHeight="1">
      <c r="A1973" t="inlineStr">
        <is>
          <t>国内旅游攻略合集</t>
        </is>
      </c>
      <c r="B1973" s="2" t="str">
        <f>=HYPERLINK("https://pan.quark.cn/s/bc7eebfe0c96", "https://pan.quark.cn/s/bc7eebfe0c96")</f>
        <v>https://pan.quark.cn/s/bc7eebfe0c96</v>
      </c>
      <c r="C1973" t="inlineStr">
        <is>
          <t>2.0GB</t>
        </is>
      </c>
      <c r="D1973" t="inlineStr">
        <is>
          <t>/国内旅游/旅游攻略/出行指南/白领/其他</t>
        </is>
      </c>
      <c r="E1973" t="inlineStr">
        <is>
          <t>https://dcn8qexvg13r.feishu.cn/share/base/query/shrcnMqxwwRkV3NUIUxPeab3sec</t>
        </is>
      </c>
      <c r="F1973" t="inlineStr">
        <is>
          <t>请添加微信：k846211</t>
        </is>
      </c>
      <c r="G1973" t="inlineStr">
        <is>
          <t>2026-03-30</t>
        </is>
      </c>
    </row>
    <row r="1974" ht="25.5" customHeight="1">
      <c r="A1974" t="inlineStr">
        <is>
          <t>26春《教材帮》人教数学6下</t>
        </is>
      </c>
      <c r="B1974" s="2" t="str">
        <f>=HYPERLINK("https://pan.quark.cn/s/2b3b8ba069a0", "https://pan.quark.cn/s/2b3b8ba069a0")</f>
        <v>https://pan.quark.cn/s/2b3b8ba069a0</v>
      </c>
      <c r="C1974" t="inlineStr">
        <is>
          <t>26.0GB</t>
        </is>
      </c>
      <c r="D1974" t="inlineStr">
        <is>
          <t>/教材帮/数学/六年级下册/人教版/K12/学龄儿童家长</t>
        </is>
      </c>
      <c r="E1974" t="inlineStr">
        <is>
          <t>https://dcn8qexvg13r.feishu.cn/share/base/query/shrcnMqxwwRkV3NUIUxPeab3sec</t>
        </is>
      </c>
      <c r="F1974" t="inlineStr">
        <is>
          <t>请添加微信：k846211</t>
        </is>
      </c>
      <c r="G1974" t="inlineStr">
        <is>
          <t>2026-03-30</t>
        </is>
      </c>
    </row>
    <row r="1975" ht="25.5" customHeight="1">
      <c r="A1975" t="inlineStr">
        <is>
          <t>Oxford Phonics World 牛津自然拼读世界-茉莉老师配套课程【5个级别169节 视频课】</t>
        </is>
      </c>
      <c r="B1975" s="2" t="str">
        <f>=HYPERLINK("https://pan.quark.cn/s/71917f39b71f", "https://pan.quark.cn/s/71917f39b71f")</f>
        <v>https://pan.quark.cn/s/71917f39b71f</v>
      </c>
      <c r="C1975" t="inlineStr">
        <is>
          <t>8.3GB</t>
        </is>
      </c>
      <c r="D1975" t="inlineStr">
        <is>
          <t>/牛津自然拼读/视频课/茉莉老师/5个级别/学龄儿童家长/宝妈/家长群体</t>
        </is>
      </c>
      <c r="E1975" t="inlineStr">
        <is>
          <t>https://dcn8qexvg13r.feishu.cn/share/base/query/shrcnMqxwwRkV3NUIUxPeab3sec</t>
        </is>
      </c>
      <c r="F1975" t="inlineStr">
        <is>
          <t>请添加微信：k846211</t>
        </is>
      </c>
      <c r="G1975" t="inlineStr">
        <is>
          <t>2026-04-01</t>
        </is>
      </c>
    </row>
    <row r="1976" ht="25.5" customHeight="1">
      <c r="A1976" t="inlineStr">
        <is>
          <t>时文阅读提分训练3+X（第2辑）7年级</t>
        </is>
      </c>
      <c r="B1976" s="2" t="str">
        <f>=HYPERLINK("https://pan.quark.cn/s/cecaea5abd09", "https://pan.quark.cn/s/cecaea5abd09")</f>
        <v>https://pan.quark.cn/s/cecaea5abd09</v>
      </c>
      <c r="C1976" t="inlineStr">
        <is>
          <t>357.9MB</t>
        </is>
      </c>
      <c r="D1976" t="inlineStr">
        <is>
          <t>/时文阅读/提分训练/7年级/K12/学龄儿童家长</t>
        </is>
      </c>
      <c r="E1976" t="inlineStr">
        <is>
          <t>https://dcn8qexvg13r.feishu.cn/share/base/query/shrcnMqxwwRkV3NUIUxPeab3sec</t>
        </is>
      </c>
      <c r="F1976" t="inlineStr">
        <is>
          <t>请添加微信：k846211</t>
        </is>
      </c>
      <c r="G1976" t="inlineStr">
        <is>
          <t>2026-04-01</t>
        </is>
      </c>
    </row>
    <row r="1977" ht="25.5" customHeight="1">
      <c r="A1977" t="inlineStr">
        <is>
          <t>时文阅读提分训练3+X（第2辑）8年级</t>
        </is>
      </c>
      <c r="B1977" s="2" t="str">
        <f>=HYPERLINK("https://pan.quark.cn/s/e7eab78bf3f2", "https://pan.quark.cn/s/e7eab78bf3f2")</f>
        <v>https://pan.quark.cn/s/e7eab78bf3f2</v>
      </c>
      <c r="C1977" t="inlineStr">
        <is>
          <t>542.4MB</t>
        </is>
      </c>
      <c r="D1977" t="inlineStr">
        <is>
          <t>/时文阅读/提分训练/8年级/K12/学龄儿童家长</t>
        </is>
      </c>
      <c r="E1977" t="inlineStr">
        <is>
          <t>https://dcn8qexvg13r.feishu.cn/share/base/query/shrcnMqxwwRkV3NUIUxPeab3sec</t>
        </is>
      </c>
      <c r="F1977" t="inlineStr">
        <is>
          <t>请添加微信：k846211</t>
        </is>
      </c>
      <c r="G1977" t="inlineStr">
        <is>
          <t>2026-04-01</t>
        </is>
      </c>
    </row>
    <row r="1978" ht="25.5" customHeight="1">
      <c r="A1978" t="inlineStr">
        <is>
          <t>时文阅读提分训练3+X（第2辑）小升初</t>
        </is>
      </c>
      <c r="B1978" s="2" t="str">
        <f>=HYPERLINK("https://pan.quark.cn/s/c8df8c2a9833", "https://pan.quark.cn/s/c8df8c2a9833")</f>
        <v>https://pan.quark.cn/s/c8df8c2a9833</v>
      </c>
      <c r="C1978" t="inlineStr">
        <is>
          <t>111.8MB</t>
        </is>
      </c>
      <c r="D1978" t="inlineStr">
        <is>
          <t>/时文阅读/提分训练/小升初/阅读训练/K12/学龄儿童家长</t>
        </is>
      </c>
      <c r="E1978" t="inlineStr">
        <is>
          <t>https://dcn8qexvg13r.feishu.cn/share/base/query/shrcnMqxwwRkV3NUIUxPeab3sec</t>
        </is>
      </c>
      <c r="F1978" t="inlineStr">
        <is>
          <t>请添加微信：k846211</t>
        </is>
      </c>
      <c r="G1978" t="inlineStr">
        <is>
          <t>2026-04-01</t>
        </is>
      </c>
    </row>
    <row r="1979" ht="25.5" customHeight="1">
      <c r="A1979" t="inlineStr">
        <is>
          <t>时文阅读提分训练3+X（第2辑）中考</t>
        </is>
      </c>
      <c r="B1979" s="2" t="str">
        <f>=HYPERLINK("https://pan.quark.cn/s/2df3499085f8", "https://pan.quark.cn/s/2df3499085f8")</f>
        <v>https://pan.quark.cn/s/2df3499085f8</v>
      </c>
      <c r="C1979" t="inlineStr">
        <is>
          <t>276.2MB</t>
        </is>
      </c>
      <c r="D1979" t="inlineStr">
        <is>
          <t>/时文阅读/中考/提分训练/阅读训练/K12/学龄儿童家长</t>
        </is>
      </c>
      <c r="E1979" t="inlineStr">
        <is>
          <t>https://dcn8qexvg13r.feishu.cn/share/base/query/shrcnMqxwwRkV3NUIUxPeab3sec</t>
        </is>
      </c>
      <c r="F1979" t="inlineStr">
        <is>
          <t>请添加微信：k846211</t>
        </is>
      </c>
      <c r="G1979" t="inlineStr">
        <is>
          <t>2026-04-01</t>
        </is>
      </c>
    </row>
    <row r="1980" ht="25.5" customHeight="1">
      <c r="A1980" t="inlineStr">
        <is>
          <t>三年级</t>
        </is>
      </c>
      <c r="B1980" s="2" t="str">
        <f>=HYPERLINK("https://pan.quark.cn/s/3b26a422a02b", "https://pan.quark.cn/s/3b26a422a02b")</f>
        <v>https://pan.quark.cn/s/3b26a422a02b</v>
      </c>
      <c r="C1980" t="inlineStr">
        <is>
          <t>61.0MB</t>
        </is>
      </c>
      <c r="D1980" t="inlineStr">
        <is>
          <t>/三年级/小学教育/基础教育/学龄儿童家长/K12</t>
        </is>
      </c>
      <c r="E1980" t="inlineStr">
        <is>
          <t>https://dcn8qexvg13r.feishu.cn/share/base/query/shrcnMqxwwRkV3NUIUxPeab3sec</t>
        </is>
      </c>
      <c r="F1980" t="inlineStr">
        <is>
          <t>请添加微信：k846211</t>
        </is>
      </c>
      <c r="G1980" t="inlineStr">
        <is>
          <t>2026-04-01</t>
        </is>
      </c>
    </row>
    <row r="1981" ht="25.5" customHeight="1">
      <c r="A1981" t="inlineStr">
        <is>
          <t>六下道德与法治【七彩同步训练】.pdf</t>
        </is>
      </c>
      <c r="B1981" s="2" t="str">
        <f>=HYPERLINK("https://pan.quark.cn/s/45f3f67b3dca", "https://pan.quark.cn/s/45f3f67b3dca")</f>
        <v>https://pan.quark.cn/s/45f3f67b3dca</v>
      </c>
      <c r="C1981" t="inlineStr">
        <is>
          <t>89.3MB</t>
        </is>
      </c>
      <c r="D1981" t="inlineStr">
        <is>
          <t>/六下道德与法治/同步训练/小学教育/K12/学龄儿童家长</t>
        </is>
      </c>
      <c r="E1981" t="inlineStr">
        <is>
          <t>https://dcn8qexvg13r.feishu.cn/share/base/query/shrcnMqxwwRkV3NUIUxPeab3sec</t>
        </is>
      </c>
      <c r="F1981" t="inlineStr">
        <is>
          <t>请添加微信：k846211</t>
        </is>
      </c>
      <c r="G1981" t="inlineStr">
        <is>
          <t>2026-04-01</t>
        </is>
      </c>
    </row>
    <row r="1982" ht="25.5" customHeight="1">
      <c r="A1982" t="inlineStr">
        <is>
          <t>时文阅读提分训练3+X（第2辑）7年级(1)</t>
        </is>
      </c>
      <c r="B1982" s="2" t="str">
        <f>=HYPERLINK("https://pan.quark.cn/s/3585214d9c66", "https://pan.quark.cn/s/3585214d9c66")</f>
        <v>https://pan.quark.cn/s/3585214d9c66</v>
      </c>
      <c r="C1982" t="inlineStr">
        <is>
          <t>357.9MB</t>
        </is>
      </c>
      <c r="D1982" t="inlineStr">
        <is>
          <t>/时文阅读/提分训练/7年级/K12/学龄儿童家长</t>
        </is>
      </c>
      <c r="E1982" t="inlineStr">
        <is>
          <t>https://dcn8qexvg13r.feishu.cn/share/base/query/shrcnMqxwwRkV3NUIUxPeab3sec</t>
        </is>
      </c>
      <c r="F1982" t="inlineStr">
        <is>
          <t>请添加微信：k846211</t>
        </is>
      </c>
      <c r="G1982" t="inlineStr">
        <is>
          <t>2026-04-01</t>
        </is>
      </c>
    </row>
    <row r="1983" ht="25.5" customHeight="1">
      <c r="A1983" t="inlineStr">
        <is>
          <t>时文阅读提分训练3+X（第2辑）8年级(1)</t>
        </is>
      </c>
      <c r="B1983" s="2" t="str">
        <f>=HYPERLINK("https://pan.quark.cn/s/badee3ad565e", "https://pan.quark.cn/s/badee3ad565e")</f>
        <v>https://pan.quark.cn/s/badee3ad565e</v>
      </c>
      <c r="C1983" t="inlineStr">
        <is>
          <t>542.4MB</t>
        </is>
      </c>
      <c r="D1983" t="inlineStr">
        <is>
          <t>/时文阅读/提分训练/8年级/K12/学龄儿童家长</t>
        </is>
      </c>
      <c r="E1983" t="inlineStr">
        <is>
          <t>https://dcn8qexvg13r.feishu.cn/share/base/query/shrcnMqxwwRkV3NUIUxPeab3sec</t>
        </is>
      </c>
      <c r="F1983" t="inlineStr">
        <is>
          <t>请添加微信：k846211</t>
        </is>
      </c>
      <c r="G1983" t="inlineStr">
        <is>
          <t>2026-04-01</t>
        </is>
      </c>
    </row>
    <row r="1984" ht="25.5" customHeight="1">
      <c r="A1984" t="inlineStr">
        <is>
          <t>时文阅读提分训练3+X（第2辑）小升初(1)</t>
        </is>
      </c>
      <c r="B1984" s="2" t="str">
        <f>=HYPERLINK("https://pan.quark.cn/s/9c86ada59028", "https://pan.quark.cn/s/9c86ada59028")</f>
        <v>https://pan.quark.cn/s/9c86ada59028</v>
      </c>
      <c r="C1984" t="inlineStr">
        <is>
          <t>111.8MB</t>
        </is>
      </c>
      <c r="D1984" t="inlineStr">
        <is>
          <t>时文阅读/提分训练/小升初/K12/学龄儿童家长</t>
        </is>
      </c>
      <c r="E1984" t="inlineStr">
        <is>
          <t>https://dcn8qexvg13r.feishu.cn/share/base/query/shrcnMqxwwRkV3NUIUxPeab3sec</t>
        </is>
      </c>
      <c r="F1984" t="inlineStr">
        <is>
          <t>请添加微信：k846211</t>
        </is>
      </c>
      <c r="G1984" t="inlineStr">
        <is>
          <t>2026-04-01</t>
        </is>
      </c>
    </row>
    <row r="1985" ht="25.5" customHeight="1">
      <c r="A1985" t="inlineStr">
        <is>
          <t>时文阅读提分训练3+X（第2辑）中考(1)</t>
        </is>
      </c>
      <c r="B1985" s="2" t="str">
        <f>=HYPERLINK("https://pan.quark.cn/s/fa66bb87ba95", "https://pan.quark.cn/s/fa66bb87ba95")</f>
        <v>https://pan.quark.cn/s/fa66bb87ba95</v>
      </c>
      <c r="C1985" t="inlineStr">
        <is>
          <t>276.2MB</t>
        </is>
      </c>
      <c r="D1985" t="inlineStr">
        <is>
          <t>/时文阅读/中考/提分训练/K12/学龄儿童家长</t>
        </is>
      </c>
      <c r="E1985" t="inlineStr">
        <is>
          <t>https://dcn8qexvg13r.feishu.cn/share/base/query/shrcnMqxwwRkV3NUIUxPeab3sec</t>
        </is>
      </c>
      <c r="F1985" t="inlineStr">
        <is>
          <t>请添加微信：k846211</t>
        </is>
      </c>
      <c r="G1985" t="inlineStr">
        <is>
          <t>2026-04-01</t>
        </is>
      </c>
    </row>
    <row r="1986" ht="25.5" customHeight="1">
      <c r="A1986" t="inlineStr">
        <is>
          <t>《小学教材全解精析》1-6年级</t>
        </is>
      </c>
      <c r="B1986" s="2" t="str">
        <f>=HYPERLINK("https://pan.quark.cn/s/6321d9bfa571", "https://pan.quark.cn/s/6321d9bfa571")</f>
        <v>https://pan.quark.cn/s/6321d9bfa571</v>
      </c>
      <c r="C1986" t="inlineStr">
        <is>
          <t>3.1GB</t>
        </is>
      </c>
      <c r="D1986" t="inlineStr">
        <is>
          <t>/小学教材/全解精析/1-6年级/K12/学龄儿童家长</t>
        </is>
      </c>
      <c r="E1986" t="inlineStr">
        <is>
          <t>https://dcn8qexvg13r.feishu.cn/share/base/query/shrcnMqxwwRkV3NUIUxPeab3sec</t>
        </is>
      </c>
      <c r="F1986" t="inlineStr">
        <is>
          <t>请添加微信：k846211</t>
        </is>
      </c>
      <c r="G1986" t="inlineStr">
        <is>
          <t>2026-04-01</t>
        </is>
      </c>
    </row>
    <row r="1987" ht="25.5" customHeight="1">
      <c r="A1987" t="inlineStr">
        <is>
          <t>@《资源合集：生字、字帖类》</t>
        </is>
      </c>
      <c r="B1987" s="2" t="str">
        <f>=HYPERLINK("https://pan.quark.cn/s/1fede51dbac8", "https://pan.quark.cn/s/1fede51dbac8")</f>
        <v>https://pan.quark.cn/s/1fede51dbac8</v>
      </c>
      <c r="C1987" t="inlineStr">
        <is>
          <t>9.7GB</t>
        </is>
      </c>
      <c r="D1987" t="inlineStr">
        <is>
          <t>/生字/字帖/汉字学习/书写练习/K12/学龄儿童家长</t>
        </is>
      </c>
      <c r="E1987" t="inlineStr">
        <is>
          <t>https://dcn8qexvg13r.feishu.cn/share/base/query/shrcnMqxwwRkV3NUIUxPeab3sec</t>
        </is>
      </c>
      <c r="F1987" t="inlineStr">
        <is>
          <t>请添加微信：k846211</t>
        </is>
      </c>
      <c r="G1987" t="inlineStr">
        <is>
          <t>2026-04-01</t>
        </is>
      </c>
    </row>
    <row r="1988" ht="25.5" customHeight="1">
      <c r="A1988" t="inlineStr">
        <is>
          <t>【高考语文必背古诗词】视频+音频各版本合集</t>
        </is>
      </c>
      <c r="B1988" s="2" t="str">
        <f>=HYPERLINK("https://pan.quark.cn/s/3eeec6438106", "https://pan.quark.cn/s/3eeec6438106")</f>
        <v>https://pan.quark.cn/s/3eeec6438106</v>
      </c>
      <c r="C1988" t="inlineStr">
        <is>
          <t>2.8GB</t>
        </is>
      </c>
      <c r="D1988" t="inlineStr">
        <is>
          <t>/高考语文/古诗词/必背/视频/音频/K12/学龄儿童家长</t>
        </is>
      </c>
      <c r="E1988" t="inlineStr">
        <is>
          <t>https://dcn8qexvg13r.feishu.cn/share/base/query/shrcnMqxwwRkV3NUIUxPeab3sec</t>
        </is>
      </c>
      <c r="F1988" t="inlineStr">
        <is>
          <t>请添加微信：k846211</t>
        </is>
      </c>
      <c r="G1988" t="inlineStr">
        <is>
          <t>2026-04-01</t>
        </is>
      </c>
    </row>
    <row r="1989" ht="25.5" customHeight="1">
      <c r="A1989" t="inlineStr">
        <is>
          <t>豆神大语文《快解阅读系列课》</t>
        </is>
      </c>
      <c r="B1989" s="2" t="str">
        <f>=HYPERLINK("https://pan.quark.cn/s/50305c295874", "https://pan.quark.cn/s/50305c295874")</f>
        <v>https://pan.quark.cn/s/50305c295874</v>
      </c>
      <c r="C1989" t="inlineStr">
        <is>
          <t>5.5GB</t>
        </is>
      </c>
      <c r="D1989" t="inlineStr">
        <is>
          <t>/大语文/阅读/快解/课程/K12/学龄儿童家长</t>
        </is>
      </c>
      <c r="E1989" t="inlineStr">
        <is>
          <t>https://dcn8qexvg13r.feishu.cn/share/base/query/shrcnMqxwwRkV3NUIUxPeab3sec</t>
        </is>
      </c>
      <c r="F1989" t="inlineStr">
        <is>
          <t>请添加微信：k846211</t>
        </is>
      </c>
      <c r="G1989" t="inlineStr">
        <is>
          <t>2026-04-01</t>
        </is>
      </c>
    </row>
    <row r="1990" ht="25.5" customHeight="1">
      <c r="A1990" t="inlineStr">
        <is>
          <t>安卓游戏软件破解合集：去广告、解锁内购与VIP功能一键搞定</t>
        </is>
      </c>
      <c r="B1990" s="2" t="str">
        <f>=HYPERLINK("https://pan.quark.cn/s/57bf6669bd33", "https://pan.quark.cn/s/57bf6669bd33")</f>
        <v>https://pan.quark.cn/s/57bf6669bd33</v>
      </c>
      <c r="C1990" t="inlineStr">
        <is>
          <t>152.0GB</t>
        </is>
      </c>
      <c r="D1990" t="inlineStr">
        <is>
          <t>安卓游戏/破解/去广告/解锁内购/游戏</t>
        </is>
      </c>
      <c r="E1990" t="inlineStr">
        <is>
          <t>https://dcn8qexvg13r.feishu.cn/share/base/query/shrcnMqxwwRkV3NUIUxPeab3sec</t>
        </is>
      </c>
      <c r="F1990" t="inlineStr">
        <is>
          <t>请添加微信：k846211</t>
        </is>
      </c>
      <c r="G1990" t="inlineStr">
        <is>
          <t>2026-04-01</t>
        </is>
      </c>
    </row>
    <row r="1991" ht="25.5" customHeight="1">
      <c r="A1991" t="inlineStr">
        <is>
          <t>2026考研名师资料合集（持续更新）</t>
        </is>
      </c>
      <c r="B1991" s="2" t="str">
        <f>=HYPERLINK("https://pan.quark.cn/s/39feb90bc29e", "https://pan.quark.cn/s/39feb90bc29e")</f>
        <v>https://pan.quark.cn/s/39feb90bc29e</v>
      </c>
      <c r="C1991" t="inlineStr">
        <is>
          <t>77.8GB</t>
        </is>
      </c>
      <c r="D1991" t="inlineStr">
        <is>
          <t>/2026考研/名师/持续更新/考研/考研/考公/考证党</t>
        </is>
      </c>
      <c r="E1991" t="inlineStr">
        <is>
          <t>https://dcn8qexvg13r.feishu.cn/share/base/query/shrcnMqxwwRkV3NUIUxPeab3sec</t>
        </is>
      </c>
      <c r="F1991" t="inlineStr">
        <is>
          <t>请添加微信：k846211</t>
        </is>
      </c>
      <c r="G1991" t="inlineStr">
        <is>
          <t>2026-04-01</t>
        </is>
      </c>
    </row>
    <row r="1992" ht="25.5" customHeight="1">
      <c r="A1992" t="inlineStr">
        <is>
          <t>完蛋! 我成短剧真少爷，还要被虐</t>
        </is>
      </c>
      <c r="B1992" s="2" t="str">
        <f>=HYPERLINK("https://pan.quark.cn/s/d3fd639f4850", "https://pan.quark.cn/s/d3fd639f4850")</f>
        <v>https://pan.quark.cn/s/d3fd639f4850</v>
      </c>
      <c r="C1992" t="inlineStr">
        <is>
          <t>1.0GB</t>
        </is>
      </c>
      <c r="D1992" t="inlineStr">
        <is>
          <t>/短剧/真少爷/逆袭/爽文/剧集/其他</t>
        </is>
      </c>
      <c r="E1992" t="inlineStr">
        <is>
          <t>https://dcn8qexvg13r.feishu.cn/share/base/query/shrcnMqxwwRkV3NUIUxPeab3sec</t>
        </is>
      </c>
      <c r="F1992" t="inlineStr">
        <is>
          <t>请添加微信：k846211</t>
        </is>
      </c>
      <c r="G1992" t="inlineStr">
        <is>
          <t>2026-04-01</t>
        </is>
      </c>
    </row>
    <row r="1993" ht="25.5" customHeight="1">
      <c r="A1993" t="inlineStr">
        <is>
          <t>短剧之神助我逆袭人生（33集）</t>
        </is>
      </c>
      <c r="B1993" s="2" t="str">
        <f>=HYPERLINK("https://pan.quark.cn/s/b67f6ae0f6f0", "https://pan.quark.cn/s/b67f6ae0f6f0")</f>
        <v>https://pan.quark.cn/s/b67f6ae0f6f0</v>
      </c>
      <c r="C1993" t="inlineStr">
        <is>
          <t>664.0MB</t>
        </is>
      </c>
      <c r="D1993" t="inlineStr">
        <is>
          <t>/短剧/逆袭/人生/33集/剧集/其他</t>
        </is>
      </c>
      <c r="E1993" t="inlineStr">
        <is>
          <t>https://dcn8qexvg13r.feishu.cn/share/base/query/shrcnMqxwwRkV3NUIUxPeab3sec</t>
        </is>
      </c>
      <c r="F1993" t="inlineStr">
        <is>
          <t>请添加微信：k846211</t>
        </is>
      </c>
      <c r="G1993" t="inlineStr">
        <is>
          <t>2026-04-01</t>
        </is>
      </c>
    </row>
    <row r="1994" ht="25.5" customHeight="1">
      <c r="A1994" t="inlineStr">
        <is>
          <t>带手机穿越，我躺皇帝怀里刷短剧</t>
        </is>
      </c>
      <c r="B1994" s="2" t="str">
        <f>=HYPERLINK("https://pan.quark.cn/s/9e7628368a8c", "https://pan.quark.cn/s/9e7628368a8c")</f>
        <v>https://pan.quark.cn/s/9e7628368a8c</v>
      </c>
      <c r="C1994" t="inlineStr">
        <is>
          <t>1.3GB</t>
        </is>
      </c>
      <c r="D1994" t="inlineStr">
        <is>
          <t>/穿越/皇帝/短剧/古代言情/剧集/其他</t>
        </is>
      </c>
      <c r="E1994" t="inlineStr">
        <is>
          <t>https://dcn8qexvg13r.feishu.cn/share/base/query/shrcnMqxwwRkV3NUIUxPeab3sec</t>
        </is>
      </c>
      <c r="F1994" t="inlineStr">
        <is>
          <t>请添加微信：k846211</t>
        </is>
      </c>
      <c r="G1994" t="inlineStr">
        <is>
          <t>2026-04-01</t>
        </is>
      </c>
    </row>
    <row r="1995" ht="25.5" customHeight="1">
      <c r="A1995" t="inlineStr">
        <is>
          <t>七天文案成交课</t>
        </is>
      </c>
      <c r="B1995" s="2" t="str">
        <f>=HYPERLINK("https://pan.quark.cn/s/18251ef996c3", "https://pan.quark.cn/s/18251ef996c3")</f>
        <v>https://pan.quark.cn/s/18251ef996c3</v>
      </c>
      <c r="C1995" t="inlineStr">
        <is>
          <t>1.3GB</t>
        </is>
      </c>
      <c r="D1995" t="inlineStr">
        <is>
          <t>/文案/成交/课程/营销/白领/特定行业从业者</t>
        </is>
      </c>
      <c r="E1995" t="inlineStr">
        <is>
          <t>https://dcn8qexvg13r.feishu.cn/share/base/query/shrcnMqxwwRkV3NUIUxPeab3sec</t>
        </is>
      </c>
      <c r="F1995" t="inlineStr">
        <is>
          <t>请添加微信：k846211</t>
        </is>
      </c>
      <c r="G1995" t="inlineStr">
        <is>
          <t>2026-04-01</t>
        </is>
      </c>
    </row>
    <row r="1996" ht="25.5" customHeight="1">
      <c r="A1996" t="inlineStr">
        <is>
          <t>方块哥《疯狂数学课 (1-6年级) 》</t>
        </is>
      </c>
      <c r="B1996" s="2" t="str">
        <f>=HYPERLINK("https://pan.quark.cn/s/fc0765398408", "https://pan.quark.cn/s/fc0765398408")</f>
        <v>https://pan.quark.cn/s/fc0765398408</v>
      </c>
      <c r="C1996" t="inlineStr">
        <is>
          <t>52.3GB</t>
        </is>
      </c>
      <c r="D1996" t="inlineStr">
        <is>
          <t>/数学/课程/1-6年级/中小学/K12/学龄儿童家长</t>
        </is>
      </c>
      <c r="E1996" t="inlineStr">
        <is>
          <t>https://dcn8qexvg13r.feishu.cn/share/base/query/shrcnMqxwwRkV3NUIUxPeab3sec</t>
        </is>
      </c>
      <c r="F1996" t="inlineStr">
        <is>
          <t>请添加微信：k846211</t>
        </is>
      </c>
      <c r="G1996" t="inlineStr">
        <is>
          <t>2026-04-01</t>
        </is>
      </c>
    </row>
    <row r="1997" ht="25.5" customHeight="1">
      <c r="A1997" t="inlineStr">
        <is>
          <t>成为更理性的人：用社会学看透现代社会</t>
        </is>
      </c>
      <c r="B1997" s="2" t="str">
        <f>=HYPERLINK("https://pan.quark.cn/s/1190225bf050", "https://pan.quark.cn/s/1190225bf050")</f>
        <v>https://pan.quark.cn/s/1190225bf050</v>
      </c>
      <c r="C1997" t="inlineStr">
        <is>
          <t>10.1MB</t>
        </is>
      </c>
      <c r="D1997" t="inlineStr">
        <is>
          <t>/社会学/理性思维/现代社会/白领/大学生</t>
        </is>
      </c>
      <c r="E1997" t="inlineStr">
        <is>
          <t>https://dcn8qexvg13r.feishu.cn/share/base/query/shrcnMqxwwRkV3NUIUxPeab3sec</t>
        </is>
      </c>
      <c r="F1997" t="inlineStr">
        <is>
          <t>请添加微信：k846211</t>
        </is>
      </c>
      <c r="G1997" t="inlineStr">
        <is>
          <t>2026-04-01</t>
        </is>
      </c>
    </row>
    <row r="1998" ht="25.5" customHeight="1">
      <c r="A1998" t="inlineStr">
        <is>
          <t>海尼曼英语启蒙分级绘本（298本全）</t>
        </is>
      </c>
      <c r="B1998" s="2" t="str">
        <f>=HYPERLINK("https://pan.quark.cn/s/296dca7977ce", "https://pan.quark.cn/s/296dca7977ce")</f>
        <v>https://pan.quark.cn/s/296dca7977ce</v>
      </c>
      <c r="C1998" t="inlineStr">
        <is>
          <t>480.5MB</t>
        </is>
      </c>
      <c r="D1998" t="inlineStr">
        <is>
          <t>/英语启蒙/分级绘本/儿童英语/启蒙教育/宝妈/家长群体/学龄儿童家长</t>
        </is>
      </c>
      <c r="E1998" t="inlineStr">
        <is>
          <t>https://dcn8qexvg13r.feishu.cn/share/base/query/shrcnMqxwwRkV3NUIUxPeab3sec</t>
        </is>
      </c>
      <c r="F1998" t="inlineStr">
        <is>
          <t>请添加微信：k846211</t>
        </is>
      </c>
      <c r="G1998" t="inlineStr">
        <is>
          <t>2026-04-01</t>
        </is>
      </c>
    </row>
    <row r="1999" ht="25.5" customHeight="1">
      <c r="A1999" t="inlineStr">
        <is>
          <t>2022-12《切开看看：揭秘物体内部的隐藏世界》</t>
        </is>
      </c>
      <c r="B1999" s="2" t="str">
        <f>=HYPERLINK("https://pan.quark.cn/s/de85d01cb3f0", "https://pan.quark.cn/s/de85d01cb3f0")</f>
        <v>https://pan.quark.cn/s/de85d01cb3f0</v>
      </c>
      <c r="C1999" t="inlineStr">
        <is>
          <t>48.4MB</t>
        </is>
      </c>
      <c r="D1999" t="inlineStr">
        <is>
          <t>/物体内部/揭秘/科普/儿童教育/K12/学龄儿童家长</t>
        </is>
      </c>
      <c r="E1999" t="inlineStr">
        <is>
          <t>https://dcn8qexvg13r.feishu.cn/share/base/query/shrcnMqxwwRkV3NUIUxPeab3sec</t>
        </is>
      </c>
      <c r="F1999" t="inlineStr">
        <is>
          <t>请添加微信：k846211</t>
        </is>
      </c>
      <c r="G1999" t="inlineStr">
        <is>
          <t>2026-04-01</t>
        </is>
      </c>
    </row>
    <row r="2000" ht="25.5" customHeight="1">
      <c r="A2000" t="inlineStr">
        <is>
          <t>清华大学：OpenClaw自我研究1.0报告</t>
        </is>
      </c>
      <c r="B2000" s="2" t="str">
        <f>=HYPERLINK("https://pan.quark.cn/s/0dc995bcd2ee", "https://pan.quark.cn/s/0dc995bcd2ee")</f>
        <v>https://pan.quark.cn/s/0dc995bcd2ee</v>
      </c>
      <c r="C2000" t="inlineStr">
        <is>
          <t>19.3MB</t>
        </is>
      </c>
      <c r="D2000" t="inlineStr">
        <is>
          <t>/OpenClaw/自我研究/研究报告/学术报告/大学生/特定行业从业者</t>
        </is>
      </c>
      <c r="E2000" t="inlineStr">
        <is>
          <t>https://dcn8qexvg13r.feishu.cn/share/base/query/shrcnMqxwwRkV3NUIUxPeab3sec</t>
        </is>
      </c>
      <c r="F2000" t="inlineStr">
        <is>
          <t>请添加微信：k846211</t>
        </is>
      </c>
      <c r="G2000" t="inlineStr">
        <is>
          <t>2026-04-01</t>
        </is>
      </c>
    </row>
    <row r="2001" ht="25.5" customHeight="1">
      <c r="A2001" t="inlineStr">
        <is>
          <t>《一约得吃》核心笔记(1)</t>
        </is>
      </c>
      <c r="B2001" s="2" t="str">
        <f>=HYPERLINK("https://pan.quark.cn/s/9e6ba4832fe9", "https://pan.quark.cn/s/9e6ba4832fe9")</f>
        <v>https://pan.quark.cn/s/9e6ba4832fe9</v>
      </c>
      <c r="C2001" t="inlineStr">
        <is>
          <t>11.4MB</t>
        </is>
      </c>
      <c r="D2001" t="inlineStr">
        <is>
          <t>/美食/笔记/核心/烹饪/宝妈/家长群体</t>
        </is>
      </c>
      <c r="E2001" t="inlineStr">
        <is>
          <t>https://dcn8qexvg13r.feishu.cn/share/base/query/shrcnMqxwwRkV3NUIUxPeab3sec</t>
        </is>
      </c>
      <c r="F2001" t="inlineStr">
        <is>
          <t>请添加微信：k846211</t>
        </is>
      </c>
      <c r="G2001" t="inlineStr">
        <is>
          <t>2026-04-01</t>
        </is>
      </c>
    </row>
    <row r="2002" ht="25.5" customHeight="1">
      <c r="A2002" t="inlineStr">
        <is>
          <t>一个视频搞懂OpenClaw+完整安装课程</t>
        </is>
      </c>
      <c r="B2002" s="2" t="str">
        <f>=HYPERLINK("https://pan.quark.cn/s/84bb5cf739f6", "https://pan.quark.cn/s/84bb5cf739f6")</f>
        <v>https://pan.quark.cn/s/84bb5cf739f6</v>
      </c>
      <c r="C2002" t="inlineStr">
        <is>
          <t>261.7MB</t>
        </is>
      </c>
      <c r="D2002" t="inlineStr">
        <is>
          <t>/OpenClaw/安装教程/视频教程/编程/编程</t>
        </is>
      </c>
      <c r="E2002" t="inlineStr">
        <is>
          <t>https://dcn8qexvg13r.feishu.cn/share/base/query/shrcnMqxwwRkV3NUIUxPeab3sec</t>
        </is>
      </c>
      <c r="F2002" t="inlineStr">
        <is>
          <t>请添加微信：k846211</t>
        </is>
      </c>
      <c r="G2002" t="inlineStr">
        <is>
          <t>2026-04-01</t>
        </is>
      </c>
    </row>
    <row r="2003" ht="25.5" customHeight="1">
      <c r="A2003" t="inlineStr">
        <is>
          <t>OpenClaw橙皮书-从入门到精通</t>
        </is>
      </c>
      <c r="B2003" s="2" t="str">
        <f>=HYPERLINK("https://pan.quark.cn/s/b5f60d441200", "https://pan.quark.cn/s/b5f60d441200")</f>
        <v>https://pan.quark.cn/s/b5f60d441200</v>
      </c>
      <c r="C2003" t="inlineStr">
        <is>
          <t>9.3MB</t>
        </is>
      </c>
      <c r="D2003" t="inlineStr">
        <is>
          <t>/OpenClaw/橙皮书/入门到精通/技能入门/编程</t>
        </is>
      </c>
      <c r="E2003" t="inlineStr">
        <is>
          <t>https://dcn8qexvg13r.feishu.cn/share/base/query/shrcnMqxwwRkV3NUIUxPeab3sec</t>
        </is>
      </c>
      <c r="F2003" t="inlineStr">
        <is>
          <t>请添加微信：k846211</t>
        </is>
      </c>
      <c r="G2003" t="inlineStr">
        <is>
          <t>2026-04-01</t>
        </is>
      </c>
    </row>
    <row r="2004" ht="25.5" customHeight="1">
      <c r="A2004" t="inlineStr">
        <is>
          <t>Word高效办公课程，快速精通文档排版与自动化操作</t>
        </is>
      </c>
      <c r="B2004" s="2" t="str">
        <f>=HYPERLINK("https://pan.quark.cn/s/a94ea0204d01", "https://pan.quark.cn/s/a94ea0204d01")</f>
        <v>https://pan.quark.cn/s/a94ea0204d01</v>
      </c>
      <c r="C2004" t="inlineStr">
        <is>
          <t>1.1GB</t>
        </is>
      </c>
      <c r="D2004" t="inlineStr">
        <is>
          <t>/Word/文档排版/自动化操作/办公课程/白领/管理者</t>
        </is>
      </c>
      <c r="E2004" t="inlineStr">
        <is>
          <t>https://dcn8qexvg13r.feishu.cn/share/base/query/shrcnMqxwwRkV3NUIUxPeab3sec</t>
        </is>
      </c>
      <c r="F2004" t="inlineStr">
        <is>
          <t>请添加微信：k846211</t>
        </is>
      </c>
      <c r="G2004" t="inlineStr">
        <is>
          <t>2026-04-01</t>
        </is>
      </c>
    </row>
    <row r="2005" ht="25.5" customHeight="1">
      <c r="A2005" t="inlineStr">
        <is>
          <t>八段锦册 (台湾故宫博物院藏).pdf</t>
        </is>
      </c>
      <c r="B2005" s="2" t="str">
        <f>=HYPERLINK("https://pan.quark.cn/s/8c188a50659c", "https://pan.quark.cn/s/8c188a50659c")</f>
        <v>https://pan.quark.cn/s/8c188a50659c</v>
      </c>
      <c r="C2005" t="inlineStr">
        <is>
          <t>17.2MB</t>
        </is>
      </c>
      <c r="D2005" t="inlineStr">
        <is>
          <t>/八段锦/古籍/养生/PDF/技能入门/其他</t>
        </is>
      </c>
      <c r="E2005" t="inlineStr">
        <is>
          <t>https://dcn8qexvg13r.feishu.cn/share/base/query/shrcnMqxwwRkV3NUIUxPeab3sec</t>
        </is>
      </c>
      <c r="F2005" t="inlineStr">
        <is>
          <t>请添加微信：k846211</t>
        </is>
      </c>
      <c r="G2005" t="inlineStr">
        <is>
          <t>2026-04-01</t>
        </is>
      </c>
    </row>
    <row r="2006" ht="25.5" customHeight="1">
      <c r="A2006" t="inlineStr">
        <is>
          <t>2026《中考母题基础1000题》物理语数英(1)</t>
        </is>
      </c>
      <c r="B2006" s="2" t="str">
        <f>=HYPERLINK("https://pan.quark.cn/s/c842d79a714f", "https://pan.quark.cn/s/c842d79a714f")</f>
        <v>https://pan.quark.cn/s/c842d79a714f</v>
      </c>
      <c r="C2006" t="inlineStr">
        <is>
          <t>1.9GB</t>
        </is>
      </c>
      <c r="D2006" t="inlineStr">
        <is>
          <t>/中考/母题/基础题/物理语数英/K12/学龄儿童家长</t>
        </is>
      </c>
      <c r="E2006" t="inlineStr">
        <is>
          <t>https://dcn8qexvg13r.feishu.cn/share/base/query/shrcnMqxwwRkV3NUIUxPeab3sec</t>
        </is>
      </c>
      <c r="F2006" t="inlineStr">
        <is>
          <t>请添加微信：k846211</t>
        </is>
      </c>
      <c r="G2006" t="inlineStr">
        <is>
          <t>2026-04-01</t>
        </is>
      </c>
    </row>
    <row r="2007" ht="25.5" customHeight="1">
      <c r="A2007" t="inlineStr">
        <is>
          <t>轻松主义：让关键的事情变得容易做</t>
        </is>
      </c>
      <c r="B2007" s="2" t="str">
        <f>=HYPERLINK("https://pan.quark.cn/s/79aced576f4b", "https://pan.quark.cn/s/79aced576f4b")</f>
        <v>https://pan.quark.cn/s/79aced576f4b</v>
      </c>
      <c r="C2007" t="inlineStr">
        <is>
          <t>5.9MB</t>
        </is>
      </c>
      <c r="D2007" t="inlineStr">
        <is>
          <t>/轻松主义/关键事务/提升效率/自我管理/白领/管理者</t>
        </is>
      </c>
      <c r="E2007" t="inlineStr">
        <is>
          <t>https://dcn8qexvg13r.feishu.cn/share/base/query/shrcnMqxwwRkV3NUIUxPeab3sec</t>
        </is>
      </c>
      <c r="F2007" t="inlineStr">
        <is>
          <t>请添加微信：k846211</t>
        </is>
      </c>
      <c r="G2007" t="inlineStr">
        <is>
          <t>2026-04-01</t>
        </is>
      </c>
    </row>
    <row r="2008" ht="25.5" customHeight="1">
      <c r="A2008" t="inlineStr">
        <is>
          <t>2026版初中《万唯》中考真题分类与新考法（语数外物历道生）</t>
        </is>
      </c>
      <c r="B2008" s="2" t="str">
        <f>=HYPERLINK("https://pan.quark.cn/s/3a7e6524515a", "https://pan.quark.cn/s/3a7e6524515a")</f>
        <v>https://pan.quark.cn/s/3a7e6524515a</v>
      </c>
      <c r="C2008" t="inlineStr">
        <is>
          <t>5.1GB</t>
        </is>
      </c>
      <c r="D2008" t="inlineStr">
        <is>
          <t>/中考/真题分类/新考法/初中/K12/学龄儿童家长</t>
        </is>
      </c>
      <c r="E2008" t="inlineStr">
        <is>
          <t>https://dcn8qexvg13r.feishu.cn/share/base/query/shrcnMqxwwRkV3NUIUxPeab3sec</t>
        </is>
      </c>
      <c r="F2008" t="inlineStr">
        <is>
          <t>请添加微信：k846211</t>
        </is>
      </c>
      <c r="G2008" t="inlineStr">
        <is>
          <t>2026-04-01</t>
        </is>
      </c>
    </row>
    <row r="2009" ht="25.5" customHeight="1">
      <c r="A2009" t="inlineStr">
        <is>
          <t xml:space="preserve"> 中考英语你还在背单词吗（视频+讲义）</t>
        </is>
      </c>
      <c r="B2009" s="2" t="str">
        <f>=HYPERLINK("https://pan.quark.cn/s/01c4dfc501d8", "https://pan.quark.cn/s/01c4dfc501d8")</f>
        <v>https://pan.quark.cn/s/01c4dfc501d8</v>
      </c>
      <c r="C2009" t="inlineStr">
        <is>
          <t>8.9GB</t>
        </is>
      </c>
      <c r="D2009" t="inlineStr">
        <is>
          <t>/中考英语/单词记忆/视频/讲义/K12/学龄儿童家长</t>
        </is>
      </c>
      <c r="E2009" t="inlineStr">
        <is>
          <t>https://dcn8qexvg13r.feishu.cn/share/base/query/shrcnMqxwwRkV3NUIUxPeab3sec</t>
        </is>
      </c>
      <c r="F2009" t="inlineStr">
        <is>
          <t>请添加微信：k846211</t>
        </is>
      </c>
      <c r="G2009" t="inlineStr">
        <is>
          <t>2026-04-01</t>
        </is>
      </c>
    </row>
    <row r="2010" ht="25.5" customHeight="1">
      <c r="A2010" t="inlineStr">
        <is>
          <t>史上最全搞钱书籍</t>
        </is>
      </c>
      <c r="B2010" s="2" t="str">
        <f>=HYPERLINK("https://pan.quark.cn/s/55aaa294742a", "https://pan.quark.cn/s/55aaa294742a")</f>
        <v>https://pan.quark.cn/s/55aaa294742a</v>
      </c>
      <c r="C2010" t="inlineStr">
        <is>
          <t>239.7MB</t>
        </is>
      </c>
      <c r="D2010" t="inlineStr">
        <is>
          <t>/搞钱/理财/书籍/白领/管理者</t>
        </is>
      </c>
      <c r="E2010" t="inlineStr">
        <is>
          <t>https://dcn8qexvg13r.feishu.cn/share/base/query/shrcnMqxwwRkV3NUIUxPeab3sec</t>
        </is>
      </c>
      <c r="F2010" t="inlineStr">
        <is>
          <t>请添加微信：k846211</t>
        </is>
      </c>
      <c r="G2010" t="inlineStr">
        <is>
          <t>2026-04-01</t>
        </is>
      </c>
    </row>
    <row r="2011" ht="25.5" customHeight="1">
      <c r="A2011" t="inlineStr">
        <is>
          <t>道教道藏书籍合集（40G）</t>
        </is>
      </c>
      <c r="B2011" s="2" t="str">
        <f>=HYPERLINK("https://pan.quark.cn/s/d1c0a2cc5270", "https://pan.quark.cn/s/d1c0a2cc5270")</f>
        <v>https://pan.quark.cn/s/d1c0a2cc5270</v>
      </c>
      <c r="C2011" t="inlineStr">
        <is>
          <t>40.2GB</t>
        </is>
      </c>
      <c r="D2011" t="inlineStr">
        <is>
          <t>/道教/道藏/宗教典籍/传统文化/特定行业从业者/其他</t>
        </is>
      </c>
      <c r="E2011" t="inlineStr">
        <is>
          <t>https://dcn8qexvg13r.feishu.cn/share/base/query/shrcnMqxwwRkV3NUIUxPeab3sec</t>
        </is>
      </c>
      <c r="F2011" t="inlineStr">
        <is>
          <t>请添加微信：k846211</t>
        </is>
      </c>
      <c r="G2011" t="inlineStr">
        <is>
          <t>2026-04-01</t>
        </is>
      </c>
    </row>
    <row r="2012" ht="25.5" customHeight="1">
      <c r="A2012" t="inlineStr">
        <is>
          <t>世界顶级畅销书900本大合集，全球公认经典必读书籍打包下载</t>
        </is>
      </c>
      <c r="B2012" s="2" t="str">
        <f>=HYPERLINK("https://pan.quark.cn/s/499f091bac7d", "https://pan.quark.cn/s/499f091bac7d")</f>
        <v>https://pan.quark.cn/s/499f091bac7d</v>
      </c>
      <c r="C2012" t="inlineStr">
        <is>
          <t>3.9GB</t>
        </is>
      </c>
      <c r="D2012" t="inlineStr">
        <is>
          <t>/畅销书/经典书籍/必读书籍/阅读/大学生/白领/管理者</t>
        </is>
      </c>
      <c r="E2012" t="inlineStr">
        <is>
          <t>https://dcn8qexvg13r.feishu.cn/share/base/query/shrcnMqxwwRkV3NUIUxPeab3sec</t>
        </is>
      </c>
      <c r="F2012" t="inlineStr">
        <is>
          <t>请添加微信：k846211</t>
        </is>
      </c>
      <c r="G2012" t="inlineStr">
        <is>
          <t>2026-04-01</t>
        </is>
      </c>
    </row>
    <row r="2013" ht="25.5" customHeight="1">
      <c r="A2013" t="inlineStr">
        <is>
          <t>1500本当当网电子书合集</t>
        </is>
      </c>
      <c r="B2013" s="2" t="str">
        <f>=HYPERLINK("https://pan.quark.cn/s/aa027e7dec3d", "https://pan.quark.cn/s/aa027e7dec3d")</f>
        <v>https://pan.quark.cn/s/aa027e7dec3d</v>
      </c>
      <c r="C2013" t="inlineStr">
        <is>
          <t>2.2GB</t>
        </is>
      </c>
      <c r="D2013" t="inlineStr">
        <is>
          <t>/电子书/当当网/阅读/大学生/白领</t>
        </is>
      </c>
      <c r="E2013" t="inlineStr">
        <is>
          <t>https://dcn8qexvg13r.feishu.cn/share/base/query/shrcnMqxwwRkV3NUIUxPeab3sec</t>
        </is>
      </c>
      <c r="F2013" t="inlineStr">
        <is>
          <t>请添加微信：k846211</t>
        </is>
      </c>
      <c r="G2013" t="inlineStr">
        <is>
          <t>2026-04-01</t>
        </is>
      </c>
    </row>
    <row r="2014" ht="25.5" customHeight="1">
      <c r="A2014" t="inlineStr">
        <is>
          <t>绝版男生恋爱书籍：撩道1-5系列</t>
        </is>
      </c>
      <c r="B2014" s="2" t="str">
        <f>=HYPERLINK("https://pan.quark.cn/s/2c6c5b664adc", "https://pan.quark.cn/s/2c6c5b664adc")</f>
        <v>https://pan.quark.cn/s/2c6c5b664adc</v>
      </c>
      <c r="C2014" t="inlineStr">
        <is>
          <t>1.9GB</t>
        </is>
      </c>
      <c r="D2014" t="inlineStr">
        <is>
          <t>/恋爱/撩道/男生/书籍/大学生/白领</t>
        </is>
      </c>
      <c r="E2014" t="inlineStr">
        <is>
          <t>https://dcn8qexvg13r.feishu.cn/share/base/query/shrcnMqxwwRkV3NUIUxPeab3sec</t>
        </is>
      </c>
      <c r="F2014" t="inlineStr">
        <is>
          <t>请添加微信：k846211</t>
        </is>
      </c>
      <c r="G2014" t="inlineStr">
        <is>
          <t>2026-04-01</t>
        </is>
      </c>
    </row>
    <row r="2015" ht="25.5" customHeight="1">
      <c r="A2015" t="inlineStr">
        <is>
          <t>上千本医学类书籍大合集【47.8GB】</t>
        </is>
      </c>
      <c r="B2015" s="2" t="str">
        <f>=HYPERLINK("https://pan.quark.cn/s/df4a9e2fffd9", "https://pan.quark.cn/s/df4a9e2fffd9")</f>
        <v>https://pan.quark.cn/s/df4a9e2fffd9</v>
      </c>
      <c r="C2015" t="inlineStr">
        <is>
          <t>47.8GB</t>
        </is>
      </c>
      <c r="D2015" t="inlineStr">
        <is>
          <t>/医学/书籍/医学书籍/医学学习/特定行业从业者/考研/考公/考证党</t>
        </is>
      </c>
      <c r="E2015" t="inlineStr">
        <is>
          <t>https://dcn8qexvg13r.feishu.cn/share/base/query/shrcnMqxwwRkV3NUIUxPeab3sec</t>
        </is>
      </c>
      <c r="F2015" t="inlineStr">
        <is>
          <t>请添加微信：k846211</t>
        </is>
      </c>
      <c r="G2015" t="inlineStr">
        <is>
          <t>2026-04-01</t>
        </is>
      </c>
    </row>
    <row r="2016" ht="25.5" customHeight="1">
      <c r="A2016" t="inlineStr">
        <is>
          <t>亚马逊 两性书籍 大合集</t>
        </is>
      </c>
      <c r="B2016" s="2" t="str">
        <f>=HYPERLINK("https://pan.quark.cn/s/4f78cfd56719", "https://pan.quark.cn/s/4f78cfd56719")</f>
        <v>https://pan.quark.cn/s/4f78cfd56719</v>
      </c>
      <c r="C2016" t="inlineStr">
        <is>
          <t>43.1MB</t>
        </is>
      </c>
      <c r="D2016" t="inlineStr">
        <is>
          <t>/两性/书籍/情感关系/白领/其他</t>
        </is>
      </c>
      <c r="E2016" t="inlineStr">
        <is>
          <t>https://dcn8qexvg13r.feishu.cn/share/base/query/shrcnMqxwwRkV3NUIUxPeab3sec</t>
        </is>
      </c>
      <c r="F2016" t="inlineStr">
        <is>
          <t>请添加微信：k846211</t>
        </is>
      </c>
      <c r="G2016" t="inlineStr">
        <is>
          <t>2026-04-01</t>
        </is>
      </c>
    </row>
    <row r="2017" ht="25.5" customHeight="1">
      <c r="A2017" t="inlineStr">
        <is>
          <t>亚马逊 两性书籍 大合集</t>
        </is>
      </c>
      <c r="B2017" s="2" t="str">
        <f>=HYPERLINK("https://pan.quark.cn/s/22441a440fc9", "https://pan.quark.cn/s/22441a440fc9")</f>
        <v>https://pan.quark.cn/s/22441a440fc9</v>
      </c>
      <c r="C2017" t="inlineStr">
        <is>
          <t>43.1MB</t>
        </is>
      </c>
      <c r="D2017" t="inlineStr">
        <is>
          <t>/两性关系/书籍/情感认知/白领/其他</t>
        </is>
      </c>
      <c r="E2017" t="inlineStr">
        <is>
          <t>https://dcn8qexvg13r.feishu.cn/share/base/query/shrcnMqxwwRkV3NUIUxPeab3sec</t>
        </is>
      </c>
      <c r="F2017" t="inlineStr">
        <is>
          <t>请添加微信：k846211</t>
        </is>
      </c>
      <c r="G2017" t="inlineStr">
        <is>
          <t>2026-04-01</t>
        </is>
      </c>
    </row>
    <row r="2018" ht="25.5" customHeight="1">
      <c r="A2018" t="inlineStr">
        <is>
          <t>啃碎词源：考研英语单词速记宝典</t>
        </is>
      </c>
      <c r="B2018" s="2" t="str">
        <f>=HYPERLINK("https://pan.quark.cn/s/c7cf1669d88c", "https://pan.quark.cn/s/c7cf1669d88c")</f>
        <v>https://pan.quark.cn/s/c7cf1669d88c</v>
      </c>
      <c r="C2018" t="inlineStr">
        <is>
          <t>4.1MB</t>
        </is>
      </c>
      <c r="D2018" t="inlineStr">
        <is>
          <t>/考研英语/词源/单词速记/考研/考公/考证党</t>
        </is>
      </c>
      <c r="E2018" t="inlineStr">
        <is>
          <t>https://dcn8qexvg13r.feishu.cn/share/base/query/shrcnMqxwwRkV3NUIUxPeab3sec</t>
        </is>
      </c>
      <c r="F2018" t="inlineStr">
        <is>
          <t>请添加微信：k846211</t>
        </is>
      </c>
      <c r="G2018" t="inlineStr">
        <is>
          <t>2026-04-01</t>
        </is>
      </c>
    </row>
    <row r="2019" ht="25.5" customHeight="1">
      <c r="A2019" t="inlineStr">
        <is>
          <t>伊藤润二系列剧集+漫画+电影合集 ​</t>
        </is>
      </c>
      <c r="B2019" s="2" t="str">
        <f>=HYPERLINK("https://pan.quark.cn/s/8c979324e700", "https://pan.quark.cn/s/8c979324e700")</f>
        <v>https://pan.quark.cn/s/8c979324e700</v>
      </c>
      <c r="C2019" t="inlineStr">
        <is>
          <t>21.0GB</t>
        </is>
      </c>
      <c r="D2019" t="inlineStr">
        <is>
          <t>/伊藤润二/漫画/电影/剧集/动漫/电影</t>
        </is>
      </c>
      <c r="E2019" t="inlineStr">
        <is>
          <t>https://dcn8qexvg13r.feishu.cn/share/base/query/shrcnMqxwwRkV3NUIUxPeab3sec</t>
        </is>
      </c>
      <c r="F2019" t="inlineStr">
        <is>
          <t>请添加微信：k846211</t>
        </is>
      </c>
      <c r="G2019" t="inlineStr">
        <is>
          <t>2026-04-01</t>
        </is>
      </c>
    </row>
    <row r="2020" ht="25.5" customHeight="1">
      <c r="A2020" t="inlineStr">
        <is>
          <t>零基础玩转Linux+Ubuntu</t>
        </is>
      </c>
      <c r="B2020" s="2" t="str">
        <f>=HYPERLINK("https://pan.quark.cn/s/7e5c43e2f28d", "https://pan.quark.cn/s/7e5c43e2f28d")</f>
        <v>https://pan.quark.cn/s/7e5c43e2f28d</v>
      </c>
      <c r="C2020" t="inlineStr">
        <is>
          <t>1.9GB</t>
        </is>
      </c>
      <c r="D2020" t="inlineStr">
        <is>
          <t>/Linux/Ubuntu/零基础/技能入门/大学生/编程</t>
        </is>
      </c>
      <c r="E2020" t="inlineStr">
        <is>
          <t>https://dcn8qexvg13r.feishu.cn/share/base/query/shrcnMqxwwRkV3NUIUxPeab3sec</t>
        </is>
      </c>
      <c r="F2020" t="inlineStr">
        <is>
          <t>请添加微信：k846211</t>
        </is>
      </c>
      <c r="G2020" t="inlineStr">
        <is>
          <t>2026-04-01</t>
        </is>
      </c>
    </row>
    <row r="2021" ht="25.5" customHeight="1">
      <c r="A2021" t="inlineStr">
        <is>
          <t>郭建龙系列全集</t>
        </is>
      </c>
      <c r="B2021" s="2" t="str">
        <f>=HYPERLINK("https://pan.quark.cn/s/cf09dce76707", "https://pan.quark.cn/s/cf09dce76707")</f>
        <v>https://pan.quark.cn/s/cf09dce76707</v>
      </c>
      <c r="C2021" t="inlineStr">
        <is>
          <t>459.7MB</t>
        </is>
      </c>
      <c r="D2021" t="inlineStr">
        <is>
          <t>/郭建龙/系列作品/历史/文化/其他</t>
        </is>
      </c>
      <c r="E2021" t="inlineStr">
        <is>
          <t>https://dcn8qexvg13r.feishu.cn/share/base/query/shrcnMqxwwRkV3NUIUxPeab3sec</t>
        </is>
      </c>
      <c r="F2021" t="inlineStr">
        <is>
          <t>请添加微信：k846211</t>
        </is>
      </c>
      <c r="G2021" t="inlineStr">
        <is>
          <t>2026-04-01</t>
        </is>
      </c>
    </row>
    <row r="2022" ht="25.5" customHeight="1">
      <c r="A2022" t="inlineStr">
        <is>
          <t>情商</t>
        </is>
      </c>
      <c r="B2022" s="2" t="str">
        <f>=HYPERLINK("https://pan.quark.cn/s/68c91660863a", "https://pan.quark.cn/s/68c91660863a")</f>
        <v>https://pan.quark.cn/s/68c91660863a</v>
      </c>
      <c r="C2022" t="inlineStr">
        <is>
          <t>1.1GB</t>
        </is>
      </c>
      <c r="D2022" t="inlineStr">
        <is>
          <t>/情商/心理成长/人际关系/职场能力/白领/管理者</t>
        </is>
      </c>
      <c r="E2022" t="inlineStr">
        <is>
          <t>https://dcn8qexvg13r.feishu.cn/share/base/query/shrcnMqxwwRkV3NUIUxPeab3sec</t>
        </is>
      </c>
      <c r="F2022" t="inlineStr">
        <is>
          <t>请添加微信：k846211</t>
        </is>
      </c>
      <c r="G2022" t="inlineStr">
        <is>
          <t>2026-04-01</t>
        </is>
      </c>
    </row>
    <row r="2023" ht="25.5" customHeight="1">
      <c r="A2023" t="inlineStr">
        <is>
          <t>慢慢变富-张居营</t>
        </is>
      </c>
      <c r="B2023" s="2" t="str">
        <f>=HYPERLINK("https://pan.quark.cn/s/082a6fea859f", "https://pan.quark.cn/s/082a6fea859f")</f>
        <v>https://pan.quark.cn/s/082a6fea859f</v>
      </c>
      <c r="C2023" t="inlineStr">
        <is>
          <t>14.1MB</t>
        </is>
      </c>
      <c r="D2023" t="inlineStr">
        <is>
          <t>/投资理财/财富积累/个人理财/白领/管理者</t>
        </is>
      </c>
      <c r="E2023" t="inlineStr">
        <is>
          <t>https://dcn8qexvg13r.feishu.cn/share/base/query/shrcnMqxwwRkV3NUIUxPeab3sec</t>
        </is>
      </c>
      <c r="F2023" t="inlineStr">
        <is>
          <t>请添加微信：k846211</t>
        </is>
      </c>
      <c r="G2023" t="inlineStr">
        <is>
          <t>2026-04-01</t>
        </is>
      </c>
    </row>
    <row r="2024" ht="25.5" customHeight="1">
      <c r="A2024" t="inlineStr">
        <is>
          <t>清明节PPT模板173套</t>
        </is>
      </c>
      <c r="B2024" s="2" t="str">
        <f>=HYPERLINK("https://pan.quark.cn/s/f93ea4c9f97c", "https://pan.quark.cn/s/f93ea4c9f97c")</f>
        <v>https://pan.quark.cn/s/f93ea4c9f97c</v>
      </c>
      <c r="C2024" t="inlineStr">
        <is>
          <t>5.0GB</t>
        </is>
      </c>
      <c r="D2024" t="inlineStr">
        <is>
          <t>/清明节/PPT模板/节日模板/白领/管理者</t>
        </is>
      </c>
      <c r="E2024" t="inlineStr">
        <is>
          <t>https://dcn8qexvg13r.feishu.cn/share/base/query/shrcnMqxwwRkV3NUIUxPeab3sec</t>
        </is>
      </c>
      <c r="F2024" t="inlineStr">
        <is>
          <t>请添加微信：k846211</t>
        </is>
      </c>
      <c r="G2024" t="inlineStr">
        <is>
          <t>2026-04-01</t>
        </is>
      </c>
    </row>
    <row r="2025" ht="25.5" customHeight="1">
      <c r="A2025" t="inlineStr">
        <is>
          <t>【短剧】完蛋! 我成短剧真少爷，还要被虐（79集）王玉婷</t>
        </is>
      </c>
      <c r="B2025" s="2" t="str">
        <f>=HYPERLINK("https://pan.quark.cn/s/81e7848fa19e", "https://pan.quark.cn/s/81e7848fa19e")</f>
        <v>https://pan.quark.cn/s/81e7848fa19e</v>
      </c>
      <c r="C2025" t="inlineStr">
        <is>
          <t>1.0GB</t>
        </is>
      </c>
      <c r="D2025" t="inlineStr">
        <is>
          <t>/短剧/真少爷/逆袭/剧情/剧集/其他</t>
        </is>
      </c>
      <c r="E2025" t="inlineStr">
        <is>
          <t>https://dcn8qexvg13r.feishu.cn/share/base/query/shrcnMqxwwRkV3NUIUxPeab3sec</t>
        </is>
      </c>
      <c r="F2025" t="inlineStr">
        <is>
          <t>请添加微信：k846211</t>
        </is>
      </c>
      <c r="G2025" t="inlineStr">
        <is>
          <t>2026-04-01</t>
        </is>
      </c>
    </row>
    <row r="2026" ht="25.5" customHeight="1">
      <c r="A2026" t="inlineStr">
        <is>
          <t>048064-嫡@女@归@来@：@深@宫@定@乾@坤@ (50集)</t>
        </is>
      </c>
      <c r="B2026" s="2" t="str">
        <f>=HYPERLINK("https://pan.quark.cn/s/7ddafbb58649", "https://pan.quark.cn/s/7ddafbb58649")</f>
        <v>https://pan.quark.cn/s/7ddafbb58649</v>
      </c>
      <c r="C2026" t="inlineStr">
        <is>
          <t>420.6MB</t>
        </is>
      </c>
      <c r="D2026" t="inlineStr">
        <is>
          <t>/嫡女/深宫/权谋/古装/剧集</t>
        </is>
      </c>
      <c r="E2026" t="inlineStr">
        <is>
          <t>https://dcn8qexvg13r.feishu.cn/share/base/query/shrcnMqxwwRkV3NUIUxPeab3sec</t>
        </is>
      </c>
      <c r="F2026" t="inlineStr">
        <is>
          <t>请添加微信：k846211</t>
        </is>
      </c>
      <c r="G2026" t="inlineStr">
        <is>
          <t>2026-04-01</t>
        </is>
      </c>
    </row>
    <row r="2027" ht="25.5" customHeight="1">
      <c r="A2027" t="inlineStr">
        <is>
          <t>《观亭说茶：中国茶叶权威图鉴》（全2册）</t>
        </is>
      </c>
      <c r="B2027" s="2" t="str">
        <f>=HYPERLINK("https://pan.quark.cn/s/518a9772344a", "https://pan.quark.cn/s/518a9772344a")</f>
        <v>https://pan.quark.cn/s/518a9772344a</v>
      </c>
      <c r="C2027" t="inlineStr">
        <is>
          <t>102.0MB</t>
        </is>
      </c>
      <c r="D2027" t="inlineStr">
        <is>
          <t>/中国茶叶/权威图鉴/茶文化/茶知识/特定行业从业者/其他</t>
        </is>
      </c>
      <c r="E2027" t="inlineStr">
        <is>
          <t>https://dcn8qexvg13r.feishu.cn/share/base/query/shrcnMqxwwRkV3NUIUxPeab3sec</t>
        </is>
      </c>
      <c r="F2027" t="inlineStr">
        <is>
          <t>请添加微信：k846211</t>
        </is>
      </c>
      <c r="G2027" t="inlineStr">
        <is>
          <t>2026-04-01</t>
        </is>
      </c>
    </row>
    <row r="2028" ht="25.5" customHeight="1">
      <c r="A2028" t="inlineStr">
        <is>
          <t>茶叶与帝国：口味如何塑造现代世界</t>
        </is>
      </c>
      <c r="B2028" s="2" t="str">
        <f>=HYPERLINK("https://pan.quark.cn/s/31b635c61865", "https://pan.quark.cn/s/31b635c61865")</f>
        <v>https://pan.quark.cn/s/31b635c61865</v>
      </c>
      <c r="C2028" t="inlineStr">
        <is>
          <t>47.4MB</t>
        </is>
      </c>
      <c r="D2028" t="inlineStr">
        <is>
          <t>/茶叶历史/帝国扩张/全球贸易/历史研究/大学生/特定行业从业者</t>
        </is>
      </c>
      <c r="E2028" t="inlineStr">
        <is>
          <t>https://dcn8qexvg13r.feishu.cn/share/base/query/shrcnMqxwwRkV3NUIUxPeab3sec</t>
        </is>
      </c>
      <c r="F2028" t="inlineStr">
        <is>
          <t>请添加微信：k846211</t>
        </is>
      </c>
      <c r="G2028" t="inlineStr">
        <is>
          <t>2026-04-01</t>
        </is>
      </c>
    </row>
    <row r="2029" ht="25.5" customHeight="1">
      <c r="A2029" t="inlineStr">
        <is>
          <t>43485-重生1980：开局卖茶叶蛋（80集）王雅清&amp;胥宁轲</t>
        </is>
      </c>
      <c r="B2029" s="2" t="str">
        <f>=HYPERLINK("https://pan.quark.cn/s/bd88fc976994", "https://pan.quark.cn/s/bd88fc976994")</f>
        <v>https://pan.quark.cn/s/bd88fc976994</v>
      </c>
      <c r="C2029" t="inlineStr">
        <is>
          <t>933.5MB</t>
        </is>
      </c>
      <c r="D2029" t="inlineStr">
        <is>
          <t>/重生1980/年代剧/茶叶蛋/创业/王雅清/剧集/其他</t>
        </is>
      </c>
      <c r="E2029" t="inlineStr">
        <is>
          <t>https://dcn8qexvg13r.feishu.cn/share/base/query/shrcnMqxwwRkV3NUIUxPeab3sec</t>
        </is>
      </c>
      <c r="F2029" t="inlineStr">
        <is>
          <t>请添加微信：k846211</t>
        </is>
      </c>
      <c r="G2029" t="inlineStr">
        <is>
          <t>2026-04-01</t>
        </is>
      </c>
    </row>
    <row r="2030" ht="25.5" customHeight="1">
      <c r="A2030" t="inlineStr">
        <is>
          <t>茶是故乡浓 32集</t>
        </is>
      </c>
      <c r="B2030" s="2" t="str">
        <f>=HYPERLINK("https://pan.quark.cn/s/adebf71e6b50", "https://pan.quark.cn/s/adebf71e6b50")</f>
        <v>https://pan.quark.cn/s/adebf71e6b50</v>
      </c>
      <c r="C2030" t="inlineStr">
        <is>
          <t>26.3GB</t>
        </is>
      </c>
      <c r="D2030" t="inlineStr">
        <is>
          <t>/茶/故乡/情感/剧集/剧集</t>
        </is>
      </c>
      <c r="E2030" t="inlineStr">
        <is>
          <t>https://dcn8qexvg13r.feishu.cn/share/base/query/shrcnMqxwwRkV3NUIUxPeab3sec</t>
        </is>
      </c>
      <c r="F2030" t="inlineStr">
        <is>
          <t>请添加微信：k846211</t>
        </is>
      </c>
      <c r="G2030" t="inlineStr">
        <is>
          <t>2026-04-01</t>
        </is>
      </c>
    </row>
    <row r="2031" ht="25.5" customHeight="1">
      <c r="A2031" t="inlineStr">
        <is>
          <t>语文《王朝霞 单元活页卷》26春</t>
        </is>
      </c>
      <c r="B2031" s="2" t="str">
        <f>=HYPERLINK("https://pan.quark.cn/s/f34ecafd53bf", "https://pan.quark.cn/s/f34ecafd53bf")</f>
        <v>https://pan.quark.cn/s/f34ecafd53bf</v>
      </c>
      <c r="C2031" t="inlineStr">
        <is>
          <t>1.2GB</t>
        </is>
      </c>
      <c r="D2031" t="inlineStr">
        <is>
          <t>/语文/单元活页卷/王朝霞/K12/学龄儿童家长</t>
        </is>
      </c>
      <c r="E2031" t="inlineStr">
        <is>
          <t>https://dcn8qexvg13r.feishu.cn/share/base/query/shrcnMqxwwRkV3NUIUxPeab3sec</t>
        </is>
      </c>
      <c r="F2031" t="inlineStr">
        <is>
          <t>请添加微信：k846211</t>
        </is>
      </c>
      <c r="G2031" t="inlineStr">
        <is>
          <t>2026-04-01</t>
        </is>
      </c>
    </row>
    <row r="2032" ht="25.5" customHeight="1">
      <c r="A2032" t="inlineStr">
        <is>
          <t>2026版万唯语文逆袭卷</t>
        </is>
      </c>
      <c r="B2032" s="2" t="str">
        <f>=HYPERLINK("https://pan.quark.cn/s/92b61873a735", "https://pan.quark.cn/s/92b61873a735")</f>
        <v>https://pan.quark.cn/s/92b61873a735</v>
      </c>
      <c r="C2032" t="inlineStr">
        <is>
          <t>353.5MB</t>
        </is>
      </c>
      <c r="D2032" t="inlineStr">
        <is>
          <t>语文/逆袭卷/万唯/备考/K12/学龄儿童家长</t>
        </is>
      </c>
      <c r="E2032" t="inlineStr">
        <is>
          <t>https://dcn8qexvg13r.feishu.cn/share/base/query/shrcnMqxwwRkV3NUIUxPeab3sec</t>
        </is>
      </c>
      <c r="F2032" t="inlineStr">
        <is>
          <t>请添加微信：k846211</t>
        </is>
      </c>
      <c r="G2032" t="inlineStr">
        <is>
          <t>2026-04-01</t>
        </is>
      </c>
    </row>
    <row r="2033" ht="25.5" customHeight="1">
      <c r="A2033" t="inlineStr">
        <is>
          <t>【初中】2026版万唯化学《中考逆袭卷》查漏补缺特训(1)</t>
        </is>
      </c>
      <c r="B2033" s="2" t="str">
        <f>=HYPERLINK("https://pan.quark.cn/s/9b0bec2b4e62", "https://pan.quark.cn/s/9b0bec2b4e62")</f>
        <v>https://pan.quark.cn/s/9b0bec2b4e62</v>
      </c>
      <c r="C2033" t="inlineStr">
        <is>
          <t>156.2MB</t>
        </is>
      </c>
      <c r="D2033" t="inlineStr">
        <is>
          <t>/初中化学/中考/逆袭卷/查漏补缺/K12/学龄儿童家长</t>
        </is>
      </c>
      <c r="E2033" t="inlineStr">
        <is>
          <t>https://dcn8qexvg13r.feishu.cn/share/base/query/shrcnMqxwwRkV3NUIUxPeab3sec</t>
        </is>
      </c>
      <c r="F2033" t="inlineStr">
        <is>
          <t>请添加微信：k846211</t>
        </is>
      </c>
      <c r="G2033" t="inlineStr">
        <is>
          <t>2026-04-01</t>
        </is>
      </c>
    </row>
    <row r="2034" ht="25.5" customHeight="1">
      <c r="A2034" t="inlineStr">
        <is>
          <t>【初中】2026版万唯化学《中考逆袭卷》查漏补缺特训(1)</t>
        </is>
      </c>
      <c r="B2034" s="2" t="str">
        <f>=HYPERLINK("https://pan.quark.cn/s/98a83cb476ff", "https://pan.quark.cn/s/98a83cb476ff")</f>
        <v>https://pan.quark.cn/s/98a83cb476ff</v>
      </c>
      <c r="C2034" t="inlineStr">
        <is>
          <t>156.2MB</t>
        </is>
      </c>
      <c r="D2034" t="inlineStr">
        <is>
          <t>/初中化学/中考/逆袭卷/查漏补缺/K12/学龄儿童家长</t>
        </is>
      </c>
      <c r="E2034" t="inlineStr">
        <is>
          <t>https://dcn8qexvg13r.feishu.cn/share/base/query/shrcnMqxwwRkV3NUIUxPeab3sec</t>
        </is>
      </c>
      <c r="F2034" t="inlineStr">
        <is>
          <t>请添加微信：k846211</t>
        </is>
      </c>
      <c r="G2034" t="inlineStr">
        <is>
          <t>2026-04-01</t>
        </is>
      </c>
    </row>
    <row r="2035" ht="25.5" customHeight="1">
      <c r="A2035" t="inlineStr">
        <is>
          <t>【初中】2026版万唯数学《中考逆袭卷》查漏补缺特训(1)</t>
        </is>
      </c>
      <c r="B2035" s="2" t="str">
        <f>=HYPERLINK("https://pan.quark.cn/s/44c75027eb5a", "https://pan.quark.cn/s/44c75027eb5a")</f>
        <v>https://pan.quark.cn/s/44c75027eb5a</v>
      </c>
      <c r="C2035" t="inlineStr">
        <is>
          <t>278.4MB</t>
        </is>
      </c>
      <c r="D2035" t="inlineStr">
        <is>
          <t>/初中数学/中考/逆袭卷/查漏补缺/K12/学龄儿童家长</t>
        </is>
      </c>
      <c r="E2035" t="inlineStr">
        <is>
          <t>https://dcn8qexvg13r.feishu.cn/share/base/query/shrcnMqxwwRkV3NUIUxPeab3sec</t>
        </is>
      </c>
      <c r="F2035" t="inlineStr">
        <is>
          <t>请添加微信：k846211</t>
        </is>
      </c>
      <c r="G2035" t="inlineStr">
        <is>
          <t>2026-04-01</t>
        </is>
      </c>
    </row>
    <row r="2036" ht="25.5" customHeight="1">
      <c r="A2036" t="inlineStr">
        <is>
          <t>【初中】2026版万唯数学《中考逆袭卷》查漏补缺特训(1)</t>
        </is>
      </c>
      <c r="B2036" s="2" t="str">
        <f>=HYPERLINK("https://pan.quark.cn/s/05dff0d6bc15", "https://pan.quark.cn/s/05dff0d6bc15")</f>
        <v>https://pan.quark.cn/s/05dff0d6bc15</v>
      </c>
      <c r="C2036" t="inlineStr">
        <is>
          <t>278.4MB</t>
        </is>
      </c>
      <c r="D2036" t="inlineStr">
        <is>
          <t>/初中数学/中考/逆袭卷/查漏补缺特训/K12/学龄儿童家长</t>
        </is>
      </c>
      <c r="E2036" t="inlineStr">
        <is>
          <t>https://dcn8qexvg13r.feishu.cn/share/base/query/shrcnMqxwwRkV3NUIUxPeab3sec</t>
        </is>
      </c>
      <c r="F2036" t="inlineStr">
        <is>
          <t>请添加微信：k846211</t>
        </is>
      </c>
      <c r="G2036" t="inlineStr">
        <is>
          <t>2026-04-01</t>
        </is>
      </c>
    </row>
    <row r="2037" ht="25.5" customHeight="1">
      <c r="A2037" t="inlineStr">
        <is>
          <t>【初中】2026版万唯英语《中考逆袭卷》查漏补缺特训(1)</t>
        </is>
      </c>
      <c r="B2037" s="2" t="str">
        <f>=HYPERLINK("https://pan.quark.cn/s/1ad40a6712fa", "https://pan.quark.cn/s/1ad40a6712fa")</f>
        <v>https://pan.quark.cn/s/1ad40a6712fa</v>
      </c>
      <c r="C2037" t="inlineStr">
        <is>
          <t>375.8MB</t>
        </is>
      </c>
      <c r="D2037" t="inlineStr">
        <is>
          <t>/初中英语/中考/逆袭卷/查漏补缺特训/K12/学龄儿童家长</t>
        </is>
      </c>
      <c r="E2037" t="inlineStr">
        <is>
          <t>https://dcn8qexvg13r.feishu.cn/share/base/query/shrcnMqxwwRkV3NUIUxPeab3sec</t>
        </is>
      </c>
      <c r="F2037" t="inlineStr">
        <is>
          <t>请添加微信：k846211</t>
        </is>
      </c>
      <c r="G2037" t="inlineStr">
        <is>
          <t>2026-04-01</t>
        </is>
      </c>
    </row>
    <row r="2038" ht="25.5" customHeight="1">
      <c r="A2038" t="inlineStr">
        <is>
          <t>【初中】2026版万唯英语《中考逆袭卷》查漏补缺特训(1)</t>
        </is>
      </c>
      <c r="B2038" s="2" t="str">
        <f>=HYPERLINK("https://pan.quark.cn/s/2c668da2d1eb", "https://pan.quark.cn/s/2c668da2d1eb")</f>
        <v>https://pan.quark.cn/s/2c668da2d1eb</v>
      </c>
      <c r="C2038" t="inlineStr">
        <is>
          <t>375.8MB</t>
        </is>
      </c>
      <c r="D2038" t="inlineStr">
        <is>
          <t>/初中英语/中考/逆袭卷/查漏补缺/K12/学龄儿童家长</t>
        </is>
      </c>
      <c r="E2038" t="inlineStr">
        <is>
          <t>https://dcn8qexvg13r.feishu.cn/share/base/query/shrcnMqxwwRkV3NUIUxPeab3sec</t>
        </is>
      </c>
      <c r="F2038" t="inlineStr">
        <is>
          <t>请添加微信：k846211</t>
        </is>
      </c>
      <c r="G2038" t="inlineStr">
        <is>
          <t>2026-04-01</t>
        </is>
      </c>
    </row>
    <row r="2039" ht="25.5" customHeight="1">
      <c r="A2039" t="inlineStr">
        <is>
          <t>【初中】2026版万唯物理《中考逆袭卷》查漏补缺特训(1)</t>
        </is>
      </c>
      <c r="B2039" s="2" t="str">
        <f>=HYPERLINK("https://pan.quark.cn/s/013add96b95a", "https://pan.quark.cn/s/013add96b95a")</f>
        <v>https://pan.quark.cn/s/013add96b95a</v>
      </c>
      <c r="C2039" t="inlineStr">
        <is>
          <t>363.7MB</t>
        </is>
      </c>
      <c r="D2039" t="inlineStr">
        <is>
          <t>/初中物理/中考/查漏补缺/特训卷/K12/学龄儿童家长</t>
        </is>
      </c>
      <c r="E2039" t="inlineStr">
        <is>
          <t>https://dcn8qexvg13r.feishu.cn/share/base/query/shrcnMqxwwRkV3NUIUxPeab3sec</t>
        </is>
      </c>
      <c r="F2039" t="inlineStr">
        <is>
          <t>请添加微信：k846211</t>
        </is>
      </c>
      <c r="G2039" t="inlineStr">
        <is>
          <t>2026-04-01</t>
        </is>
      </c>
    </row>
    <row r="2040" ht="25.5" customHeight="1">
      <c r="A2040" t="inlineStr">
        <is>
          <t>【初中】2026版万唯物理《中考逆袭卷》查漏补缺特训(1)</t>
        </is>
      </c>
      <c r="B2040" s="2" t="str">
        <f>=HYPERLINK("https://pan.quark.cn/s/cb9fbf7b5a8e", "https://pan.quark.cn/s/cb9fbf7b5a8e")</f>
        <v>https://pan.quark.cn/s/cb9fbf7b5a8e</v>
      </c>
      <c r="C2040" t="inlineStr">
        <is>
          <t>363.7MB</t>
        </is>
      </c>
      <c r="D2040" t="inlineStr">
        <is>
          <t>/初中物理/中考/逆袭卷/查漏补缺/K12/学龄儿童家长</t>
        </is>
      </c>
      <c r="E2040" t="inlineStr">
        <is>
          <t>https://dcn8qexvg13r.feishu.cn/share/base/query/shrcnMqxwwRkV3NUIUxPeab3sec</t>
        </is>
      </c>
      <c r="F2040" t="inlineStr">
        <is>
          <t>请添加微信：k846211</t>
        </is>
      </c>
      <c r="G2040" t="inlineStr">
        <is>
          <t>2026-04-01</t>
        </is>
      </c>
    </row>
    <row r="2041" ht="25.5" customHeight="1">
      <c r="A2041" t="inlineStr">
        <is>
          <t>2026《万唯中考•逆袭过关》生物</t>
        </is>
      </c>
      <c r="B2041" s="2" t="str">
        <f>=HYPERLINK("https://pan.quark.cn/s/e84ac9157e8e", "https://pan.quark.cn/s/e84ac9157e8e")</f>
        <v>https://pan.quark.cn/s/e84ac9157e8e</v>
      </c>
      <c r="C2041" t="inlineStr">
        <is>
          <t>489.7MB</t>
        </is>
      </c>
      <c r="D2041" t="inlineStr">
        <is>
          <t>/中考生物/教辅/逆袭提分/万唯/K12/学龄儿童家长</t>
        </is>
      </c>
      <c r="E2041" t="inlineStr">
        <is>
          <t>https://dcn8qexvg13r.feishu.cn/share/base/query/shrcnMqxwwRkV3NUIUxPeab3sec</t>
        </is>
      </c>
      <c r="F2041" t="inlineStr">
        <is>
          <t>请添加微信：k846211</t>
        </is>
      </c>
      <c r="G2041" t="inlineStr">
        <is>
          <t>2026-04-01</t>
        </is>
      </c>
    </row>
    <row r="2042" ht="25.5" customHeight="1">
      <c r="A2042" t="inlineStr">
        <is>
          <t>2026《万唯中考•逆袭过关》生物</t>
        </is>
      </c>
      <c r="B2042" s="2" t="str">
        <f>=HYPERLINK("https://pan.quark.cn/s/8508fe519dd1", "https://pan.quark.cn/s/8508fe519dd1")</f>
        <v>https://pan.quark.cn/s/8508fe519dd1</v>
      </c>
      <c r="C2042" t="inlineStr">
        <is>
          <t>489.7MB</t>
        </is>
      </c>
      <c r="D2042" t="inlineStr">
        <is>
          <t>/中考生物/教辅/逆袭提分/万唯/ K12/学龄儿童家长</t>
        </is>
      </c>
      <c r="E2042" t="inlineStr">
        <is>
          <t>https://dcn8qexvg13r.feishu.cn/share/base/query/shrcnMqxwwRkV3NUIUxPeab3sec</t>
        </is>
      </c>
      <c r="F2042" t="inlineStr">
        <is>
          <t>请添加微信：k846211</t>
        </is>
      </c>
      <c r="G2042" t="inlineStr">
        <is>
          <t>2026-04-01</t>
        </is>
      </c>
    </row>
    <row r="2043" ht="25.5" customHeight="1">
      <c r="A2043" t="inlineStr">
        <is>
          <t>2026《万唯中考•逆袭过关》地理</t>
        </is>
      </c>
      <c r="B2043" s="2" t="str">
        <f>=HYPERLINK("https://pan.quark.cn/s/5c1361f53ea7", "https://pan.quark.cn/s/5c1361f53ea7")</f>
        <v>https://pan.quark.cn/s/5c1361f53ea7</v>
      </c>
      <c r="C2043" t="inlineStr">
        <is>
          <t>569.2MB</t>
        </is>
      </c>
      <c r="D2043" t="inlineStr">
        <is>
          <t>/中考地理/教辅资料/逆袭提分/万唯/ K12/学龄儿童家长</t>
        </is>
      </c>
      <c r="E2043" t="inlineStr">
        <is>
          <t>https://dcn8qexvg13r.feishu.cn/share/base/query/shrcnMqxwwRkV3NUIUxPeab3sec</t>
        </is>
      </c>
      <c r="F2043" t="inlineStr">
        <is>
          <t>请添加微信：k846211</t>
        </is>
      </c>
      <c r="G2043" t="inlineStr">
        <is>
          <t>2026-04-01</t>
        </is>
      </c>
    </row>
    <row r="2044" ht="25.5" customHeight="1">
      <c r="A2044" t="inlineStr">
        <is>
          <t>小学语文《七彩好字全彩字帖》1-6年级上下册</t>
        </is>
      </c>
      <c r="B2044" s="2" t="str">
        <f>=HYPERLINK("https://pan.quark.cn/s/5705aff52323", "https://pan.quark.cn/s/5705aff52323")</f>
        <v>https://pan.quark.cn/s/5705aff52323</v>
      </c>
      <c r="C2044" t="inlineStr">
        <is>
          <t>625.5MB</t>
        </is>
      </c>
      <c r="D2044" t="inlineStr">
        <is>
          <t>/小学语文/字帖/练字/七彩好字/K12/学龄儿童家长</t>
        </is>
      </c>
      <c r="E2044" t="inlineStr">
        <is>
          <t>https://dcn8qexvg13r.feishu.cn/share/base/query/shrcnMqxwwRkV3NUIUxPeab3sec</t>
        </is>
      </c>
      <c r="F2044" t="inlineStr">
        <is>
          <t>请添加微信：k846211</t>
        </is>
      </c>
      <c r="G2044" t="inlineStr">
        <is>
          <t>2026-04-01</t>
        </is>
      </c>
    </row>
    <row r="2045" ht="25.5" customHeight="1">
      <c r="A2045" t="inlineStr">
        <is>
          <t>小学语文《一手好字全彩字帖》1-6年级上下册</t>
        </is>
      </c>
      <c r="B2045" s="2" t="str">
        <f>=HYPERLINK("https://pan.quark.cn/s/edb6a4a429d9", "https://pan.quark.cn/s/edb6a4a429d9")</f>
        <v>https://pan.quark.cn/s/edb6a4a429d9</v>
      </c>
      <c r="C2045" t="inlineStr">
        <is>
          <t>392.1MB</t>
        </is>
      </c>
      <c r="D2045" t="inlineStr">
        <is>
          <t>/小学语文/字帖/练字/1-6年级/学龄儿童家长/K12</t>
        </is>
      </c>
      <c r="E2045" t="inlineStr">
        <is>
          <t>https://dcn8qexvg13r.feishu.cn/share/base/query/shrcnMqxwwRkV3NUIUxPeab3sec</t>
        </is>
      </c>
      <c r="F2045" t="inlineStr">
        <is>
          <t>请添加微信：k846211</t>
        </is>
      </c>
      <c r="G2045" t="inlineStr">
        <is>
          <t>2026-04-01</t>
        </is>
      </c>
    </row>
    <row r="2046" ht="25.5" customHeight="1">
      <c r="A2046" t="inlineStr">
        <is>
          <t>《小学教材全解精析》1-6年级</t>
        </is>
      </c>
      <c r="B2046" s="2" t="str">
        <f>=HYPERLINK("https://pan.quark.cn/s/3d34ec11d2ea", "https://pan.quark.cn/s/3d34ec11d2ea")</f>
        <v>https://pan.quark.cn/s/3d34ec11d2ea</v>
      </c>
      <c r="C2046" t="inlineStr">
        <is>
          <t>1.4GB</t>
        </is>
      </c>
      <c r="D2046" t="inlineStr">
        <is>
          <t>/小学教材/教材解析/同步辅导/学习辅导/K12/学龄儿童家长</t>
        </is>
      </c>
      <c r="E2046" t="inlineStr">
        <is>
          <t>https://dcn8qexvg13r.feishu.cn/share/base/query/shrcnMqxwwRkV3NUIUxPeab3sec</t>
        </is>
      </c>
      <c r="F2046" t="inlineStr">
        <is>
          <t>请添加微信：k846211</t>
        </is>
      </c>
      <c r="G2046" t="inlineStr">
        <is>
          <t>2026-04-01</t>
        </is>
      </c>
    </row>
    <row r="2047" ht="25.5" customHeight="1">
      <c r="A2047" t="inlineStr">
        <is>
          <t>小学数学2年级下册RJ（新教材）教案全</t>
        </is>
      </c>
      <c r="B2047" s="2" t="str">
        <f>=HYPERLINK("https://pan.quark.cn/s/11c1c1ca74ab", "https://pan.quark.cn/s/11c1c1ca74ab")</f>
        <v>https://pan.quark.cn/s/11c1c1ca74ab</v>
      </c>
      <c r="C2047" t="inlineStr">
        <is>
          <t>75.8MB</t>
        </is>
      </c>
      <c r="D2047" t="inlineStr">
        <is>
          <t>/小学数学/二年级下册/人教版/教案/学龄儿童家长/特定行业从业者</t>
        </is>
      </c>
      <c r="E2047" t="inlineStr">
        <is>
          <t>https://dcn8qexvg13r.feishu.cn/share/base/query/shrcnMqxwwRkV3NUIUxPeab3sec</t>
        </is>
      </c>
      <c r="F2047" t="inlineStr">
        <is>
          <t>请添加微信：k846211</t>
        </is>
      </c>
      <c r="G2047" t="inlineStr">
        <is>
          <t>2026-04-01</t>
        </is>
      </c>
    </row>
    <row r="2048" ht="25.5" customHeight="1">
      <c r="A2048" t="inlineStr">
        <is>
          <t xml:space="preserve">《阳光阅读》1-6年级全册 </t>
        </is>
      </c>
      <c r="B2048" s="2" t="str">
        <f>=HYPERLINK("https://pan.quark.cn/s/7ccee12d64a4", "https://pan.quark.cn/s/7ccee12d64a4")</f>
        <v>https://pan.quark.cn/s/7ccee12d64a4</v>
      </c>
      <c r="C2048" t="inlineStr">
        <is>
          <t>447.9MB</t>
        </is>
      </c>
      <c r="D2048" t="inlineStr">
        <is>
          <t>/阳光阅读/小学教育/阅读提升/1-6年级/K12/学龄儿童家长</t>
        </is>
      </c>
      <c r="E2048" t="inlineStr">
        <is>
          <t>https://dcn8qexvg13r.feishu.cn/share/base/query/shrcnMqxwwRkV3NUIUxPeab3sec</t>
        </is>
      </c>
      <c r="F2048" t="inlineStr">
        <is>
          <t>请添加微信：k846211</t>
        </is>
      </c>
      <c r="G2048" t="inlineStr">
        <is>
          <t>2026-04-01</t>
        </is>
      </c>
    </row>
    <row r="2049" ht="25.5" customHeight="1">
      <c r="A2049" t="inlineStr">
        <is>
          <t>也是读书</t>
        </is>
      </c>
      <c r="B2049" s="2" t="str">
        <f>=HYPERLINK("https://pan.quark.cn/s/39d338aaa84e", "https://pan.quark.cn/s/39d338aaa84e")</f>
        <v>https://pan.quark.cn/s/39d338aaa84e</v>
      </c>
      <c r="C2049" t="inlineStr">
        <is>
          <t>6.8MB</t>
        </is>
      </c>
      <c r="D2049" t="inlineStr">
        <is>
          <t>/阅读/知识分享/自我提升/大学生/白领</t>
        </is>
      </c>
      <c r="E2049" t="inlineStr">
        <is>
          <t>https://dcn8qexvg13r.feishu.cn/share/base/query/shrcnMqxwwRkV3NUIUxPeab3sec</t>
        </is>
      </c>
      <c r="F2049" t="inlineStr">
        <is>
          <t>请添加微信：k846211</t>
        </is>
      </c>
      <c r="G2049" t="inlineStr">
        <is>
          <t>2026-04-01</t>
        </is>
      </c>
    </row>
    <row r="2050" ht="25.5" customHeight="1">
      <c r="A2050" t="inlineStr">
        <is>
          <t>2064进化危机</t>
        </is>
      </c>
      <c r="B2050" s="2" t="str">
        <f>=HYPERLINK("https://pan.quark.cn/s/5f8d51191744", "https://pan.quark.cn/s/5f8d51191744")</f>
        <v>https://pan.quark.cn/s/5f8d51191744</v>
      </c>
      <c r="C2050" t="inlineStr">
        <is>
          <t>4.2MB</t>
        </is>
      </c>
      <c r="D2050" t="inlineStr">
        <is>
          <t>/进化危机/科幻/2064/电影/电影</t>
        </is>
      </c>
      <c r="E2050" t="inlineStr">
        <is>
          <t>https://dcn8qexvg13r.feishu.cn/share/base/query/shrcnMqxwwRkV3NUIUxPeab3sec</t>
        </is>
      </c>
      <c r="F2050" t="inlineStr">
        <is>
          <t>请添加微信：k846211</t>
        </is>
      </c>
      <c r="G2050" t="inlineStr">
        <is>
          <t>2026-04-01</t>
        </is>
      </c>
    </row>
    <row r="2051" ht="25.5" customHeight="1">
      <c r="A2051" t="inlineStr">
        <is>
          <t>2024-10《不被大风吹倒》【豆瓣评分7.5】</t>
        </is>
      </c>
      <c r="B2051" s="2" t="str">
        <f>=HYPERLINK("https://pan.quark.cn/s/dcb411a85b67", "https://pan.quark.cn/s/dcb411a85b67")</f>
        <v>https://pan.quark.cn/s/dcb411a85b67</v>
      </c>
      <c r="C2051" t="inlineStr">
        <is>
          <t>33.6MB</t>
        </is>
      </c>
      <c r="D2051" t="inlineStr">
        <is>
          <t>/不被大风吹倒/励志/2024-10/大学生/白领</t>
        </is>
      </c>
      <c r="E2051" t="inlineStr">
        <is>
          <t>https://dcn8qexvg13r.feishu.cn/share/base/query/shrcnMqxwwRkV3NUIUxPeab3sec</t>
        </is>
      </c>
      <c r="F2051" t="inlineStr">
        <is>
          <t>请添加微信：k846211</t>
        </is>
      </c>
      <c r="G2051" t="inlineStr">
        <is>
          <t>2026-04-01</t>
        </is>
      </c>
    </row>
    <row r="2052" ht="25.5" customHeight="1">
      <c r="A2052" t="inlineStr">
        <is>
          <t>不存在的恋人</t>
        </is>
      </c>
      <c r="B2052" s="2" t="str">
        <f>=HYPERLINK("https://pan.quark.cn/s/0bd845621751", "https://pan.quark.cn/s/0bd845621751")</f>
        <v>https://pan.quark.cn/s/0bd845621751</v>
      </c>
      <c r="C2052" t="inlineStr">
        <is>
          <t>4.7MB</t>
        </is>
      </c>
      <c r="D2052" t="inlineStr">
        <is>
          <t>/爱情/情感/不存在的恋人/电影/剧集</t>
        </is>
      </c>
      <c r="E2052" t="inlineStr">
        <is>
          <t>https://dcn8qexvg13r.feishu.cn/share/base/query/shrcnMqxwwRkV3NUIUxPeab3sec</t>
        </is>
      </c>
      <c r="F2052" t="inlineStr">
        <is>
          <t>请添加微信：k846211</t>
        </is>
      </c>
      <c r="G2052" t="inlineStr">
        <is>
          <t>2026-04-01</t>
        </is>
      </c>
    </row>
    <row r="2053" ht="25.5" customHeight="1">
      <c r="A2053" t="inlineStr">
        <is>
          <t xml:space="preserve">樊登读书 (帆书) </t>
        </is>
      </c>
      <c r="B2053" s="2" t="str">
        <f>=HYPERLINK("https://pan.quark.cn/s/0355521e0e4b", "https://pan.quark.cn/s/0355521e0e4b")</f>
        <v>https://pan.quark.cn/s/0355521e0e4b</v>
      </c>
      <c r="C2053" t="inlineStr">
        <is>
          <t>64.3GB</t>
        </is>
      </c>
      <c r="D2053" t="inlineStr">
        <is>
          <t>/阅读/知识服务/书籍解读/自我提升/白领/管理者</t>
        </is>
      </c>
      <c r="E2053" t="inlineStr">
        <is>
          <t>https://dcn8qexvg13r.feishu.cn/share/base/query/shrcnMqxwwRkV3NUIUxPeab3sec</t>
        </is>
      </c>
      <c r="F2053" t="inlineStr">
        <is>
          <t>请添加微信：k846211</t>
        </is>
      </c>
      <c r="G2053" t="inlineStr">
        <is>
          <t>2026-04-01</t>
        </is>
      </c>
    </row>
    <row r="2054" ht="25.5" customHeight="1">
      <c r="A2054" t="inlineStr">
        <is>
          <t>樊登读书会历年合集（按类别分类）珍藏版 音频版+视频版，随时听，随时看！</t>
        </is>
      </c>
      <c r="B2054" s="2" t="str">
        <f>=HYPERLINK("https://pan.quark.cn/s/43eed179632f", "https://pan.quark.cn/s/43eed179632f")</f>
        <v>https://pan.quark.cn/s/43eed179632f</v>
      </c>
      <c r="C2054" t="inlineStr">
        <is>
          <t>92.5GB</t>
        </is>
      </c>
      <c r="D2054" t="inlineStr">
        <is>
          <t>/樊登读书会/音频/视频/随时学习/白领/管理者</t>
        </is>
      </c>
      <c r="E2054" t="inlineStr">
        <is>
          <t>https://dcn8qexvg13r.feishu.cn/share/base/query/shrcnMqxwwRkV3NUIUxPeab3sec</t>
        </is>
      </c>
      <c r="F2054" t="inlineStr">
        <is>
          <t>请添加微信：k846211</t>
        </is>
      </c>
      <c r="G2054" t="inlineStr">
        <is>
          <t>2026-04-01</t>
        </is>
      </c>
    </row>
    <row r="2055" ht="25.5" customHeight="1">
      <c r="A2055" t="inlineStr">
        <is>
          <t>Claude Code入门到实战教程（8集视频全）</t>
        </is>
      </c>
      <c r="B2055" s="2" t="str">
        <f>=HYPERLINK("https://pan.quark.cn/s/6b46a09cf953", "https://pan.quark.cn/s/6b46a09cf953")</f>
        <v>https://pan.quark.cn/s/6b46a09cf953</v>
      </c>
      <c r="C2055" t="inlineStr">
        <is>
          <t>447.8MB</t>
        </is>
      </c>
      <c r="D2055" t="inlineStr">
        <is>
          <t>/Claude Code/视频教程/编程入门/实战教程/编程/技能入门</t>
        </is>
      </c>
      <c r="E2055" t="inlineStr">
        <is>
          <t>https://dcn8qexvg13r.feishu.cn/share/base/query/shrcnMqxwwRkV3NUIUxPeab3sec</t>
        </is>
      </c>
      <c r="F2055" t="inlineStr">
        <is>
          <t>请添加微信：k846211</t>
        </is>
      </c>
      <c r="G2055" t="inlineStr">
        <is>
          <t>2026-04-01</t>
        </is>
      </c>
    </row>
    <row r="2056" ht="25.5" customHeight="1">
      <c r="A2056" t="inlineStr">
        <is>
          <t>经济学原理1-7</t>
        </is>
      </c>
      <c r="B2056" s="2" t="str">
        <f>=HYPERLINK("https://pan.quark.cn/s/7167a943cb76", "https://pan.quark.cn/s/7167a943cb76")</f>
        <v>https://pan.quark.cn/s/7167a943cb76</v>
      </c>
      <c r="C2056" t="inlineStr">
        <is>
          <t>1.7GB</t>
        </is>
      </c>
      <c r="D2056" t="inlineStr">
        <is>
          <t>/经济学/原理/教材/理论知识/大学生/考研/考公/考证党</t>
        </is>
      </c>
      <c r="E2056" t="inlineStr">
        <is>
          <t>https://dcn8qexvg13r.feishu.cn/share/base/query/shrcnMqxwwRkV3NUIUxPeab3sec</t>
        </is>
      </c>
      <c r="F2056" t="inlineStr">
        <is>
          <t>请添加微信：k846211</t>
        </is>
      </c>
      <c r="G2056" t="inlineStr">
        <is>
          <t>2026-04-01</t>
        </is>
      </c>
    </row>
    <row r="2057" ht="25.5" customHeight="1">
      <c r="A2057" t="inlineStr">
        <is>
          <t>外研社系列合集</t>
        </is>
      </c>
      <c r="B2057" s="2" t="str">
        <f>=HYPERLINK("https://pan.quark.cn/s/d371641f9168", "https://pan.quark.cn/s/d371641f9168")</f>
        <v>https://pan.quark.cn/s/d371641f9168</v>
      </c>
      <c r="C2057" t="inlineStr">
        <is>
          <t>322.0MB</t>
        </is>
      </c>
      <c r="D2057" t="inlineStr">
        <is>
          <t>/外研社/语言学习/教育资源/大学生/语言</t>
        </is>
      </c>
      <c r="E2057" t="inlineStr">
        <is>
          <t>https://dcn8qexvg13r.feishu.cn/share/base/query/shrcnMqxwwRkV3NUIUxPeab3sec</t>
        </is>
      </c>
      <c r="F2057" t="inlineStr">
        <is>
          <t>请添加微信：k846211</t>
        </is>
      </c>
      <c r="G2057" t="inlineStr">
        <is>
          <t>2026-04-01</t>
        </is>
      </c>
    </row>
    <row r="2058" ht="25.5" customHeight="1">
      <c r="A2058" t="inlineStr">
        <is>
          <t>香港大学推荐的50本书籍</t>
        </is>
      </c>
      <c r="B2058" s="2" t="str">
        <f>=HYPERLINK("https://pan.quark.cn/s/7729fa05d2d0", "https://pan.quark.cn/s/7729fa05d2d0")</f>
        <v>https://pan.quark.cn/s/7729fa05d2d0</v>
      </c>
      <c r="C2058" t="inlineStr">
        <is>
          <t>361.7MB</t>
        </is>
      </c>
      <c r="D2058" t="inlineStr">
        <is>
          <t>/香港大学/书籍推荐/阅读提升/大学生/</t>
        </is>
      </c>
      <c r="E2058" t="inlineStr">
        <is>
          <t>https://dcn8qexvg13r.feishu.cn/share/base/query/shrcnMqxwwRkV3NUIUxPeab3sec</t>
        </is>
      </c>
      <c r="F2058" t="inlineStr">
        <is>
          <t>请添加微信：k846211</t>
        </is>
      </c>
      <c r="G2058" t="inlineStr">
        <is>
          <t>2026-04-01</t>
        </is>
      </c>
    </row>
    <row r="2059" ht="25.5" customHeight="1">
      <c r="A2059" t="inlineStr">
        <is>
          <t>心理学著作图书大合集</t>
        </is>
      </c>
      <c r="B2059" s="2" t="str">
        <f>=HYPERLINK("https://pan.quark.cn/s/aa41b5014310", "https://pan.quark.cn/s/aa41b5014310")</f>
        <v>https://pan.quark.cn/s/aa41b5014310</v>
      </c>
      <c r="C2059" t="inlineStr">
        <is>
          <t>7.1GB</t>
        </is>
      </c>
      <c r="D2059" t="inlineStr">
        <is>
          <t>/心理学/著作/图书/大学生/特定行业从业者</t>
        </is>
      </c>
      <c r="E2059" t="inlineStr">
        <is>
          <t>https://dcn8qexvg13r.feishu.cn/share/base/query/shrcnMqxwwRkV3NUIUxPeab3sec</t>
        </is>
      </c>
      <c r="F2059" t="inlineStr">
        <is>
          <t>请添加微信：k846211</t>
        </is>
      </c>
      <c r="G2059" t="inlineStr">
        <is>
          <t>2026-04-01</t>
        </is>
      </c>
    </row>
    <row r="2060" ht="25.5" customHeight="1">
      <c r="A2060" t="inlineStr">
        <is>
          <t>一万本PDF格式图书大合集-学校图书馆必备</t>
        </is>
      </c>
      <c r="B2060" s="2" t="str">
        <f>=HYPERLINK("https://pan.quark.cn/s/f548407024ae", "https://pan.quark.cn/s/f548407024ae")</f>
        <v>https://pan.quark.cn/s/f548407024ae</v>
      </c>
      <c r="C2060" t="inlineStr">
        <is>
          <t>905.6MB</t>
        </is>
      </c>
      <c r="D2060" t="inlineStr">
        <is>
          <t>/图书/PDF/学校图书馆/大学生/K12</t>
        </is>
      </c>
      <c r="E2060" t="inlineStr">
        <is>
          <t>https://dcn8qexvg13r.feishu.cn/share/base/query/shrcnMqxwwRkV3NUIUxPeab3sec</t>
        </is>
      </c>
      <c r="F2060" t="inlineStr">
        <is>
          <t>请添加微信：k846211</t>
        </is>
      </c>
      <c r="G2060" t="inlineStr">
        <is>
          <t>2026-04-01</t>
        </is>
      </c>
    </row>
    <row r="2061" ht="25.5" customHeight="1">
      <c r="A2061" t="inlineStr">
        <is>
          <t>英文原著小说大合集（1900+本）</t>
        </is>
      </c>
      <c r="B2061" s="2" t="str">
        <f>=HYPERLINK("https://pan.quark.cn/s/5da3bec26d11", "https://pan.quark.cn/s/5da3bec26d11")</f>
        <v>https://pan.quark.cn/s/5da3bec26d11</v>
      </c>
      <c r="C2061" t="inlineStr">
        <is>
          <t>990.5MB</t>
        </is>
      </c>
      <c r="D2061" t="inlineStr">
        <is>
          <t>/英文原著/小说/经典文学/大学生/语言</t>
        </is>
      </c>
      <c r="E2061" t="inlineStr">
        <is>
          <t>https://dcn8qexvg13r.feishu.cn/share/base/query/shrcnMqxwwRkV3NUIUxPeab3sec</t>
        </is>
      </c>
      <c r="F2061" t="inlineStr">
        <is>
          <t>请添加微信：k846211</t>
        </is>
      </c>
      <c r="G2061" t="inlineStr">
        <is>
          <t>2026-04-01</t>
        </is>
      </c>
    </row>
    <row r="2062" ht="25.5" customHeight="1">
      <c r="A2062" t="inlineStr">
        <is>
          <t>优秀合集套装作品【98套】</t>
        </is>
      </c>
      <c r="B2062" s="2" t="str">
        <f>=HYPERLINK("https://pan.quark.cn/s/ff7f80146db5", "https://pan.quark.cn/s/ff7f80146db5")</f>
        <v>https://pan.quark.cn/s/ff7f80146db5</v>
      </c>
      <c r="C2062" t="inlineStr">
        <is>
          <t>6.2GB</t>
        </is>
      </c>
      <c r="D2062" t="inlineStr">
        <is>
          <t>/优秀/套装/98套/其他</t>
        </is>
      </c>
      <c r="E2062" t="inlineStr">
        <is>
          <t>https://dcn8qexvg13r.feishu.cn/share/base/query/shrcnMqxwwRkV3NUIUxPeab3sec</t>
        </is>
      </c>
      <c r="F2062" t="inlineStr">
        <is>
          <t>请添加微信：k846211</t>
        </is>
      </c>
      <c r="G2062" t="inlineStr">
        <is>
          <t>2026-04-01</t>
        </is>
      </c>
    </row>
    <row r="2063" ht="25.5" customHeight="1">
      <c r="A2063" t="inlineStr">
        <is>
          <t>英语词库上千本词书大全</t>
        </is>
      </c>
      <c r="B2063" s="2" t="str">
        <f>=HYPERLINK("https://pan.quark.cn/s/6138a6b7a71e", "https://pan.quark.cn/s/6138a6b7a71e")</f>
        <v>https://pan.quark.cn/s/6138a6b7a71e</v>
      </c>
      <c r="C2063" t="inlineStr">
        <is>
          <t>543.2MB</t>
        </is>
      </c>
      <c r="D2063" t="inlineStr">
        <is>
          <t>/英语/词库/词书/语言/大学生/考研/考公/考证党</t>
        </is>
      </c>
      <c r="E2063" t="inlineStr">
        <is>
          <t>https://dcn8qexvg13r.feishu.cn/share/base/query/shrcnMqxwwRkV3NUIUxPeab3sec</t>
        </is>
      </c>
      <c r="F2063" t="inlineStr">
        <is>
          <t>请添加微信：k846211</t>
        </is>
      </c>
      <c r="G2063" t="inlineStr">
        <is>
          <t>2026-04-01</t>
        </is>
      </c>
    </row>
    <row r="2064" ht="25.5" customHeight="1">
      <c r="A2064" t="inlineStr">
        <is>
          <t>中国两大公认史诗级的政商经典小说（共12册）</t>
        </is>
      </c>
      <c r="B2064" s="2" t="str">
        <f>=HYPERLINK("https://pan.quark.cn/s/12f572f7700d", "https://pan.quark.cn/s/12f572f7700d")</f>
        <v>https://pan.quark.cn/s/12f572f7700d</v>
      </c>
      <c r="C2064" t="inlineStr">
        <is>
          <t>22.0MB</t>
        </is>
      </c>
      <c r="D2064" t="inlineStr">
        <is>
          <t>/政商/经典小说/中国/管理者/白领</t>
        </is>
      </c>
      <c r="E2064" t="inlineStr">
        <is>
          <t>https://dcn8qexvg13r.feishu.cn/share/base/query/shrcnMqxwwRkV3NUIUxPeab3sec</t>
        </is>
      </c>
      <c r="F2064" t="inlineStr">
        <is>
          <t>请添加微信：k846211</t>
        </is>
      </c>
      <c r="G2064" t="inlineStr">
        <is>
          <t>2026-04-01</t>
        </is>
      </c>
    </row>
    <row r="2065" ht="25.5" customHeight="1">
      <c r="A2065" t="inlineStr">
        <is>
          <t>最新180多套高分书籍合集</t>
        </is>
      </c>
      <c r="B2065" s="2" t="str">
        <f>=HYPERLINK("https://pan.quark.cn/s/2955fb627dde", "https://pan.quark.cn/s/2955fb627dde")</f>
        <v>https://pan.quark.cn/s/2955fb627dde</v>
      </c>
      <c r="C2065" t="inlineStr">
        <is>
          <t>6.0GB</t>
        </is>
      </c>
      <c r="D2065" t="inlineStr">
        <is>
          <t>/高分书籍/书籍/学习资料/大学生/考研/考公/考证党</t>
        </is>
      </c>
      <c r="E2065" t="inlineStr">
        <is>
          <t>https://dcn8qexvg13r.feishu.cn/share/base/query/shrcnMqxwwRkV3NUIUxPeab3sec</t>
        </is>
      </c>
      <c r="F2065" t="inlineStr">
        <is>
          <t>请添加微信：k846211</t>
        </is>
      </c>
      <c r="G2065" t="inlineStr">
        <is>
          <t>2026-04-01</t>
        </is>
      </c>
    </row>
    <row r="2066" ht="25.5" customHeight="1">
      <c r="A2066" t="inlineStr">
        <is>
          <t>贼小众但贼好看的4本小说，想安利一万遍！【电子书】【多格式】</t>
        </is>
      </c>
      <c r="B2066" s="2" t="str">
        <f>=HYPERLINK("https://pan.quark.cn/s/9c4a8c981445", "https://pan.quark.cn/s/9c4a8c981445")</f>
        <v>https://pan.quark.cn/s/9c4a8c981445</v>
      </c>
      <c r="C2066" t="inlineStr">
        <is>
          <t>28.9MB</t>
        </is>
      </c>
      <c r="D2066" t="inlineStr">
        <is>
          <t>/小说/电子书/小众/好看/大学生/白领</t>
        </is>
      </c>
      <c r="E2066" t="inlineStr">
        <is>
          <t>https://dcn8qexvg13r.feishu.cn/share/base/query/shrcnMqxwwRkV3NUIUxPeab3sec</t>
        </is>
      </c>
      <c r="F2066" t="inlineStr">
        <is>
          <t>请添加微信：k846211</t>
        </is>
      </c>
      <c r="G2066" t="inlineStr">
        <is>
          <t>2026-04-01</t>
        </is>
      </c>
    </row>
    <row r="2067" ht="25.5" customHeight="1">
      <c r="A2067" t="inlineStr">
        <is>
          <t>《2025上半年最热门的商业神作》[10部合集]</t>
        </is>
      </c>
      <c r="B2067" s="2" t="str">
        <f>=HYPERLINK("https://pan.quark.cn/s/7baab321b596", "https://pan.quark.cn/s/7baab321b596")</f>
        <v>https://pan.quark.cn/s/7baab321b596</v>
      </c>
      <c r="C2067" t="inlineStr">
        <is>
          <t>109.6MB</t>
        </is>
      </c>
      <c r="D2067" t="inlineStr">
        <is>
          <t>/商业/2025上半年/热门/神作/白领/管理者</t>
        </is>
      </c>
      <c r="E2067" t="inlineStr">
        <is>
          <t>https://dcn8qexvg13r.feishu.cn/share/base/query/shrcnMqxwwRkV3NUIUxPeab3sec</t>
        </is>
      </c>
      <c r="F2067" t="inlineStr">
        <is>
          <t>请添加微信：k846211</t>
        </is>
      </c>
      <c r="G2067" t="inlineStr">
        <is>
          <t>2026-04-01</t>
        </is>
      </c>
    </row>
    <row r="2068" ht="25.5" customHeight="1">
      <c r="A2068" t="inlineStr">
        <is>
          <t>美国艾伦老师raz aa 88讲</t>
        </is>
      </c>
      <c r="B2068" s="2" t="str">
        <f>=HYPERLINK("https://pan.quark.cn/s/d528ba2c3f22", "https://pan.quark.cn/s/d528ba2c3f22")</f>
        <v>https://pan.quark.cn/s/d528ba2c3f22</v>
      </c>
      <c r="C2068" t="inlineStr">
        <is>
          <t>815.6MB</t>
        </is>
      </c>
      <c r="D2068" t="inlineStr">
        <is>
          <t>/RAZ AA/英语启蒙/视频课程/儿童英语/学龄儿童家长/宝妈/家长群体</t>
        </is>
      </c>
      <c r="E2068" t="inlineStr">
        <is>
          <t>https://dcn8qexvg13r.feishu.cn/share/base/query/shrcnMqxwwRkV3NUIUxPeab3sec</t>
        </is>
      </c>
      <c r="F2068" t="inlineStr">
        <is>
          <t>请添加微信：k846211</t>
        </is>
      </c>
      <c r="G2068" t="inlineStr">
        <is>
          <t>2026-04-01</t>
        </is>
      </c>
    </row>
    <row r="2069" ht="25.5" customHeight="1">
      <c r="A2069" t="inlineStr">
        <is>
          <t>Raz精讲AA-Q Mia老师</t>
        </is>
      </c>
      <c r="B2069" s="2" t="str">
        <f>=HYPERLINK("https://pan.quark.cn/s/c65b7ee9f494", "https://pan.quark.cn/s/c65b7ee9f494")</f>
        <v>https://pan.quark.cn/s/c65b7ee9f494</v>
      </c>
      <c r="C2069" t="inlineStr">
        <is>
          <t>46.2GB</t>
        </is>
      </c>
      <c r="D2069" t="inlineStr">
        <is>
          <t>/Raz/精讲/英语启蒙/语言学习/学龄儿童家长/宝妈/家长群体</t>
        </is>
      </c>
      <c r="E2069" t="inlineStr">
        <is>
          <t>https://dcn8qexvg13r.feishu.cn/share/base/query/shrcnMqxwwRkV3NUIUxPeab3sec</t>
        </is>
      </c>
      <c r="F2069" t="inlineStr">
        <is>
          <t>请添加微信：k846211</t>
        </is>
      </c>
      <c r="G2069" t="inlineStr">
        <is>
          <t>2026-04-01</t>
        </is>
      </c>
    </row>
    <row r="2070" ht="25.5" customHeight="1">
      <c r="A2070" t="inlineStr">
        <is>
          <t>Peggy老师精讲RAZ</t>
        </is>
      </c>
      <c r="B2070" s="2" t="str">
        <f>=HYPERLINK("https://pan.quark.cn/s/1189af204297", "https://pan.quark.cn/s/1189af204297")</f>
        <v>https://pan.quark.cn/s/1189af204297</v>
      </c>
      <c r="C2070" t="inlineStr">
        <is>
          <t>11.8GB</t>
        </is>
      </c>
      <c r="D2070" t="inlineStr">
        <is>
          <t>/RAZ/英语学习/精讲课程/儿童英语/宝妈/家长群体/学龄儿童家长</t>
        </is>
      </c>
      <c r="E2070" t="inlineStr">
        <is>
          <t>https://dcn8qexvg13r.feishu.cn/share/base/query/shrcnMqxwwRkV3NUIUxPeab3sec</t>
        </is>
      </c>
      <c r="F2070" t="inlineStr">
        <is>
          <t>请添加微信：k846211</t>
        </is>
      </c>
      <c r="G2070" t="inlineStr">
        <is>
          <t>2026-04-01</t>
        </is>
      </c>
    </row>
    <row r="2071" ht="25.5" customHeight="1">
      <c r="A2071" t="inlineStr">
        <is>
          <t>580-【1+2阶段套装】RAZ精读课 (Level B-I)</t>
        </is>
      </c>
      <c r="B2071" s="2" t="str">
        <f>=HYPERLINK("https://pan.quark.cn/s/d3a2434a8c6e", "https://pan.quark.cn/s/d3a2434a8c6e")</f>
        <v>https://pan.quark.cn/s/d3a2434a8c6e</v>
      </c>
      <c r="C2071" t="inlineStr">
        <is>
          <t>60.5GB</t>
        </is>
      </c>
      <c r="D2071" t="inlineStr">
        <is>
          <t>/RAZ/精读课/Level B-I/1+2阶段套装/学龄儿童家长/K12</t>
        </is>
      </c>
      <c r="E2071" t="inlineStr">
        <is>
          <t>https://dcn8qexvg13r.feishu.cn/share/base/query/shrcnMqxwwRkV3NUIUxPeab3sec</t>
        </is>
      </c>
      <c r="F2071" t="inlineStr">
        <is>
          <t>请添加微信：k846211</t>
        </is>
      </c>
      <c r="G2071" t="inlineStr">
        <is>
          <t>2026-04-01</t>
        </is>
      </c>
    </row>
    <row r="2072" ht="25.5" customHeight="1">
      <c r="A2072" t="inlineStr">
        <is>
          <t>Raz乐学无忧视频</t>
        </is>
      </c>
      <c r="B2072" s="2" t="str">
        <f>=HYPERLINK("https://pan.quark.cn/s/7f49a9f25c50", "https://pan.quark.cn/s/7f49a9f25c50")</f>
        <v>https://pan.quark.cn/s/7f49a9f25c50</v>
      </c>
      <c r="C2072" t="inlineStr">
        <is>
          <t>42.1GB</t>
        </is>
      </c>
      <c r="D2072" t="inlineStr">
        <is>
          <t>/Raz/乐学/无忧/视频/学龄儿童家长/K12</t>
        </is>
      </c>
      <c r="E2072" t="inlineStr">
        <is>
          <t>https://dcn8qexvg13r.feishu.cn/share/base/query/shrcnMqxwwRkV3NUIUxPeab3sec</t>
        </is>
      </c>
      <c r="F2072" t="inlineStr">
        <is>
          <t>请添加微信：k846211</t>
        </is>
      </c>
      <c r="G2072" t="inlineStr">
        <is>
          <t>2026-04-01</t>
        </is>
      </c>
    </row>
    <row r="2073" ht="25.5" customHeight="1">
      <c r="A2073" t="inlineStr">
        <is>
          <t>RAZ  abc  reading 精讲动画</t>
        </is>
      </c>
      <c r="B2073" s="2" t="str">
        <f>=HYPERLINK("https://pan.quark.cn/s/460ac53573c5", "https://pan.quark.cn/s/460ac53573c5")</f>
        <v>https://pan.quark.cn/s/460ac53573c5</v>
      </c>
      <c r="C2073" t="inlineStr">
        <is>
          <t>45.9GB</t>
        </is>
      </c>
      <c r="D2073" t="inlineStr">
        <is>
          <t>/RAZ/abc/reading/精讲/动画/学龄儿童家长/宝妈/家长群体</t>
        </is>
      </c>
      <c r="E2073" t="inlineStr">
        <is>
          <t>https://dcn8qexvg13r.feishu.cn/share/base/query/shrcnMqxwwRkV3NUIUxPeab3sec</t>
        </is>
      </c>
      <c r="F2073" t="inlineStr">
        <is>
          <t>请添加微信：k846211</t>
        </is>
      </c>
      <c r="G2073" t="inlineStr">
        <is>
          <t>2026-04-01</t>
        </is>
      </c>
    </row>
    <row r="2074" ht="25.5" customHeight="1">
      <c r="A2074" t="inlineStr">
        <is>
          <t>033688-相XXX逢FFF时SSS节JJJ (38集) 雷佳音&amp;袁泉&amp;张艺兴&amp;贾乃亮</t>
        </is>
      </c>
      <c r="B2074" s="2" t="str">
        <f>=HYPERLINK("https://pan.quark.cn/s/3d77a4bc8a2a", "https://pan.quark.cn/s/3d77a4bc8a2a")</f>
        <v>https://pan.quark.cn/s/3d77a4bc8a2a</v>
      </c>
      <c r="C2074" t="inlineStr">
        <is>
          <t>39.1GB</t>
        </is>
      </c>
      <c r="D2074" t="inlineStr">
        <is>
          <t>/雷佳音/袁泉/张艺兴/贾乃亮/剧集</t>
        </is>
      </c>
      <c r="E2074" t="inlineStr">
        <is>
          <t>https://dcn8qexvg13r.feishu.cn/share/base/query/shrcnMqxwwRkV3NUIUxPeab3sec</t>
        </is>
      </c>
      <c r="F2074" t="inlineStr">
        <is>
          <t>请添加微信：k846211</t>
        </is>
      </c>
      <c r="G2074" t="inlineStr">
        <is>
          <t>2026-04-01</t>
        </is>
      </c>
    </row>
    <row r="2075" ht="25.5" customHeight="1">
      <c r="A2075" t="inlineStr">
        <is>
          <t>人大版 初级会计学(朱小平第11版)课后习题</t>
        </is>
      </c>
      <c r="B2075" s="2" t="str">
        <f>=HYPERLINK("https://pan.quark.cn/s/ae165c3f9c13", "https://pan.quark.cn/s/ae165c3f9c13")</f>
        <v>https://pan.quark.cn/s/ae165c3f9c13</v>
      </c>
      <c r="C2075" t="inlineStr">
        <is>
          <t>1.0GB</t>
        </is>
      </c>
      <c r="D2075" t="inlineStr">
        <is>
          <t>/初级会计学/课后习题/人大版/朱小平第11版/大学生/考研/考公/考证党</t>
        </is>
      </c>
      <c r="E2075" t="inlineStr">
        <is>
          <t>https://dcn8qexvg13r.feishu.cn/share/base/query/shrcnMqxwwRkV3NUIUxPeab3sec</t>
        </is>
      </c>
      <c r="F2075" t="inlineStr">
        <is>
          <t>请添加微信：k846211</t>
        </is>
      </c>
      <c r="G2075" t="inlineStr">
        <is>
          <t>2026-04-01</t>
        </is>
      </c>
    </row>
    <row r="2076" ht="25.5" customHeight="1">
      <c r="A2076" t="inlineStr">
        <is>
          <t>1-4_（含课本和练习册）二次函数（共23节课）</t>
        </is>
      </c>
      <c r="B2076" s="2" t="str">
        <f>=HYPERLINK("https://pan.quark.cn/s/82b333fc03b3", "https://pan.quark.cn/s/82b333fc03b3")</f>
        <v>https://pan.quark.cn/s/82b333fc03b3</v>
      </c>
      <c r="C2076" t="inlineStr">
        <is>
          <t>5.4GB</t>
        </is>
      </c>
      <c r="D2076" t="inlineStr">
        <is>
          <t>/二次函数/课本/练习册/23节课/K12/学龄儿童家长</t>
        </is>
      </c>
      <c r="E2076" t="inlineStr">
        <is>
          <t>https://dcn8qexvg13r.feishu.cn/share/base/query/shrcnMqxwwRkV3NUIUxPeab3sec</t>
        </is>
      </c>
      <c r="F2076" t="inlineStr">
        <is>
          <t>请添加微信：k846211</t>
        </is>
      </c>
      <c r="G2076" t="inlineStr">
        <is>
          <t>2026-04-01</t>
        </is>
      </c>
    </row>
    <row r="2077" ht="25.5" customHeight="1">
      <c r="A2077" t="inlineStr">
        <is>
          <t>三支一扶资料合集汇总</t>
        </is>
      </c>
      <c r="B2077" s="2" t="str">
        <f>=HYPERLINK("https://pan.quark.cn/s/f1895e8e4594", "https://pan.quark.cn/s/f1895e8e4594")</f>
        <v>https://pan.quark.cn/s/f1895e8e4594</v>
      </c>
      <c r="C2077" t="inlineStr">
        <is>
          <t>347.6GB</t>
        </is>
      </c>
      <c r="D2077" t="inlineStr">
        <is>
          <t>/三支一扶/考试备考/考试资料/大学生/考研/考公/考证党</t>
        </is>
      </c>
      <c r="E2077" t="inlineStr">
        <is>
          <t>https://dcn8qexvg13r.feishu.cn/share/base/query/shrcnMqxwwRkV3NUIUxPeab3sec</t>
        </is>
      </c>
      <c r="F2077" t="inlineStr">
        <is>
          <t>请添加微信：k846211</t>
        </is>
      </c>
      <c r="G2077" t="inlineStr">
        <is>
          <t>2026-04-01</t>
        </is>
      </c>
    </row>
    <row r="2078" ht="25.5" customHeight="1">
      <c r="A2078" t="inlineStr">
        <is>
          <t>C 陈莫🉐容幺 4K</t>
        </is>
      </c>
      <c r="B2078" s="2" t="str">
        <f>=HYPERLINK("https://pan.quark.cn/s/059cf9c7040c", "https://pan.quark.cn/s/059cf9c7040c")</f>
        <v>https://pan.quark.cn/s/059cf9c7040c</v>
      </c>
      <c r="C2078" t="inlineStr">
        <is>
          <t>144.0GB</t>
        </is>
      </c>
      <c r="D2078" t="inlineStr">
        <is>
          <t>/4K/其他</t>
        </is>
      </c>
      <c r="E2078" t="inlineStr">
        <is>
          <t>https://dcn8qexvg13r.feishu.cn/share/base/query/shrcnMqxwwRkV3NUIUxPeab3sec</t>
        </is>
      </c>
      <c r="F2078" t="inlineStr">
        <is>
          <t>请添加微信：k846211</t>
        </is>
      </c>
      <c r="G2078" t="inlineStr">
        <is>
          <t>2026-04-01</t>
        </is>
      </c>
    </row>
    <row r="2079" ht="25.5" customHeight="1">
      <c r="A2079" t="inlineStr">
        <is>
          <t>抖音颜婕普拉提教练 11天腰臀腿塑形课 健身减肥塑形</t>
        </is>
      </c>
      <c r="B2079" s="2" t="str">
        <f>=HYPERLINK("https://pan.quark.cn/s/cea3c03d5df2", "https://pan.quark.cn/s/cea3c03d5df2")</f>
        <v>https://pan.quark.cn/s/cea3c03d5df2</v>
      </c>
      <c r="C2079" t="inlineStr">
        <is>
          <t>2.6GB</t>
        </is>
      </c>
      <c r="D2079" t="inlineStr">
        <is>
          <t>/腰臀腿塑形/普拉提/健身减肥/11天课程/白领/宝妈/家长群体</t>
        </is>
      </c>
      <c r="E2079" t="inlineStr">
        <is>
          <t>https://dcn8qexvg13r.feishu.cn/share/base/query/shrcnMqxwwRkV3NUIUxPeab3sec</t>
        </is>
      </c>
      <c r="F2079" t="inlineStr">
        <is>
          <t>请添加微信：k846211</t>
        </is>
      </c>
      <c r="G2079" t="inlineStr">
        <is>
          <t>2026-04-01</t>
        </is>
      </c>
    </row>
    <row r="2080" ht="25.5" customHeight="1">
      <c r="A2080" t="inlineStr">
        <is>
          <t>小李不吃完整知识体系 健身减脂 减肥理论+实践饮食运动</t>
        </is>
      </c>
      <c r="B2080" s="2" t="str">
        <f>=HYPERLINK("https://pan.quark.cn/s/803302aa0970", "https://pan.quark.cn/s/803302aa0970")</f>
        <v>https://pan.quark.cn/s/803302aa0970</v>
      </c>
      <c r="C2080" t="inlineStr">
        <is>
          <t>92.5GB</t>
        </is>
      </c>
      <c r="D2080" t="inlineStr">
        <is>
          <t>/健身/减脂/减肥理论/实践饮食运动/白领/技能入门</t>
        </is>
      </c>
      <c r="E2080" t="inlineStr">
        <is>
          <t>https://dcn8qexvg13r.feishu.cn/share/base/query/shrcnMqxwwRkV3NUIUxPeab3sec</t>
        </is>
      </c>
      <c r="F2080" t="inlineStr">
        <is>
          <t>请添加微信：k846211</t>
        </is>
      </c>
      <c r="G2080" t="inlineStr">
        <is>
          <t>2026-04-01</t>
        </is>
      </c>
    </row>
    <row r="2081" ht="25.5" customHeight="1">
      <c r="A2081" t="inlineStr">
        <is>
          <t>【教程-健康】小李不吃，揭秘饮食习惯的秘密！”</t>
        </is>
      </c>
      <c r="B2081" s="2" t="str">
        <f>=HYPERLINK("https://pan.quark.cn/s/117d7e1552a6", "https://pan.quark.cn/s/117d7e1552a6")</f>
        <v>https://pan.quark.cn/s/117d7e1552a6</v>
      </c>
      <c r="C2081" t="inlineStr">
        <is>
          <t>227.9GB</t>
        </is>
      </c>
      <c r="D2081" t="inlineStr">
        <is>
          <t>/健康/饮食习惯/教程/揭秘/白领/宝妈/家长群体</t>
        </is>
      </c>
      <c r="E2081" t="inlineStr">
        <is>
          <t>https://dcn8qexvg13r.feishu.cn/share/base/query/shrcnMqxwwRkV3NUIUxPeab3sec</t>
        </is>
      </c>
      <c r="F2081" t="inlineStr">
        <is>
          <t>请添加微信：k846211</t>
        </is>
      </c>
      <c r="G2081" t="inlineStr">
        <is>
          <t>2026-04-01</t>
        </is>
      </c>
    </row>
    <row r="2082" ht="25.5" customHeight="1">
      <c r="A2082" t="inlineStr">
        <is>
          <t>盼盼老师瑜伽课｜极致体式+呼吸调节（零基础入门+家庭健身+身心平衡训练）</t>
        </is>
      </c>
      <c r="B2082" s="2" t="str">
        <f>=HYPERLINK("https://pan.quark.cn/s/9219504151c8", "https://pan.quark.cn/s/9219504151c8")</f>
        <v>https://pan.quark.cn/s/9219504151c8</v>
      </c>
      <c r="C2082" t="inlineStr">
        <is>
          <t>52.2GB</t>
        </is>
      </c>
      <c r="D2082" t="inlineStr">
        <is>
          <t>/瑜伽/呼吸调节/零基础入门/家庭健身/白领/宝妈/家长群体</t>
        </is>
      </c>
      <c r="E2082" t="inlineStr">
        <is>
          <t>https://dcn8qexvg13r.feishu.cn/share/base/query/shrcnMqxwwRkV3NUIUxPeab3sec</t>
        </is>
      </c>
      <c r="F2082" t="inlineStr">
        <is>
          <t>请添加微信：k846211</t>
        </is>
      </c>
      <c r="G2082" t="inlineStr">
        <is>
          <t>2026-04-01</t>
        </is>
      </c>
    </row>
    <row r="2083" ht="25.5" customHeight="1">
      <c r="A2083" t="inlineStr">
        <is>
          <t>L 猎｜犬 S01-S02 【2026韩剧】【动作犯罪】【2160P】全2季</t>
        </is>
      </c>
      <c r="B2083" s="2" t="str">
        <f>=HYPERLINK("https://pan.quark.cn/s/de93dddbed57", "https://pan.quark.cn/s/de93dddbed57")</f>
        <v>https://pan.quark.cn/s/de93dddbed57</v>
      </c>
      <c r="C2083" t="inlineStr">
        <is>
          <t>70.1GB</t>
        </is>
      </c>
      <c r="D2083" t="inlineStr">
        <is>
          <t>/韩剧/动作犯罪/2160P/剧集/剧集</t>
        </is>
      </c>
      <c r="E2083" t="inlineStr">
        <is>
          <t>https://dcn8qexvg13r.feishu.cn/share/base/query/shrcnMqxwwRkV3NUIUxPeab3sec</t>
        </is>
      </c>
      <c r="F2083" t="inlineStr">
        <is>
          <t>请添加微信：k846211</t>
        </is>
      </c>
      <c r="G2083" t="inlineStr">
        <is>
          <t>2026-04-01</t>
        </is>
      </c>
    </row>
    <row r="2084" ht="25.5" customHeight="1">
      <c r="A2084" t="inlineStr">
        <is>
          <t>乩身【2026台剧】【奇幻动作】【2160P】全8集</t>
        </is>
      </c>
      <c r="B2084" s="2" t="str">
        <f>=HYPERLINK("https://pan.quark.cn/s/82f224d9967f", "https://pan.quark.cn/s/82f224d9967f")</f>
        <v>https://pan.quark.cn/s/82f224d9967f</v>
      </c>
      <c r="C2084" t="inlineStr">
        <is>
          <t>48.3GB</t>
        </is>
      </c>
      <c r="D2084" t="inlineStr">
        <is>
          <t>/乩身/台剧/奇幻动作/2160P/剧集</t>
        </is>
      </c>
      <c r="E2084" t="inlineStr">
        <is>
          <t>https://dcn8qexvg13r.feishu.cn/share/base/query/shrcnMqxwwRkV3NUIUxPeab3sec</t>
        </is>
      </c>
      <c r="F2084" t="inlineStr">
        <is>
          <t>请添加微信：k846211</t>
        </is>
      </c>
      <c r="G2084" t="inlineStr">
        <is>
          <t>2026-04-01</t>
        </is>
      </c>
    </row>
    <row r="2085" ht="25.5" customHeight="1">
      <c r="A2085" t="inlineStr">
        <is>
          <t>【喜马拉雅】儿童VIP（84套音频合集）32G</t>
        </is>
      </c>
      <c r="B2085" s="2" t="str">
        <f>=HYPERLINK("https://pan.quark.cn/s/2d5149627573", "https://pan.quark.cn/s/2d5149627573")</f>
        <v>https://pan.quark.cn/s/2d5149627573</v>
      </c>
      <c r="C2085" t="inlineStr">
        <is>
          <t>32.1GB</t>
        </is>
      </c>
      <c r="D2085" t="inlineStr">
        <is>
          <t>/儿童音频/喜马拉雅/84套音频/32G/宝妈/家长群体/学龄儿童家长</t>
        </is>
      </c>
      <c r="E2085" t="inlineStr">
        <is>
          <t>https://dcn8qexvg13r.feishu.cn/share/base/query/shrcnMqxwwRkV3NUIUxPeab3sec</t>
        </is>
      </c>
      <c r="F2085" t="inlineStr">
        <is>
          <t>请添加微信：k846211</t>
        </is>
      </c>
      <c r="G2085" t="inlineStr">
        <is>
          <t>2026-04-01</t>
        </is>
      </c>
    </row>
    <row r="2086" ht="25.5" customHeight="1">
      <c r="A2086" t="inlineStr">
        <is>
          <t>🔥混知 混子哥课程合集(73.2G)</t>
        </is>
      </c>
      <c r="B2086" s="2" t="str">
        <f>=HYPERLINK("https://pan.quark.cn/s/f54a846026d7", "https://pan.quark.cn/s/f54a846026d7")</f>
        <v>https://pan.quark.cn/s/f54a846026d7</v>
      </c>
      <c r="C2086" t="inlineStr">
        <is>
          <t>92.7GB</t>
        </is>
      </c>
      <c r="D2086" t="inlineStr">
        <is>
          <t>/混知/混子哥/课程/宝妈/家长群体/学龄儿童家长</t>
        </is>
      </c>
      <c r="E2086" t="inlineStr">
        <is>
          <t>https://dcn8qexvg13r.feishu.cn/share/base/query/shrcnMqxwwRkV3NUIUxPeab3sec</t>
        </is>
      </c>
      <c r="F2086" t="inlineStr">
        <is>
          <t>请添加微信：k846211</t>
        </is>
      </c>
      <c r="G2086" t="inlineStr">
        <is>
          <t>2026-04-01</t>
        </is>
      </c>
    </row>
    <row r="2087" ht="25.5" customHeight="1">
      <c r="A2087" t="inlineStr">
        <is>
          <t>资治通鉴熊逸版(1-5辑)45册</t>
        </is>
      </c>
      <c r="B2087" s="2" t="str">
        <f>=HYPERLINK("https://pan.quark.cn/s/9f0ebdaed987", "https://pan.quark.cn/s/9f0ebdaed987")</f>
        <v>https://pan.quark.cn/s/9f0ebdaed987</v>
      </c>
      <c r="C2087" t="inlineStr">
        <is>
          <t>1.4GB</t>
        </is>
      </c>
      <c r="D2087" t="inlineStr">
        <is>
          <t>/资治通鉴/历史/熊逸版/解读/管理者/大学生</t>
        </is>
      </c>
      <c r="E2087" t="inlineStr">
        <is>
          <t>https://dcn8qexvg13r.feishu.cn/share/base/query/shrcnMqxwwRkV3NUIUxPeab3sec</t>
        </is>
      </c>
      <c r="F2087" t="inlineStr">
        <is>
          <t>请添加微信：k846211</t>
        </is>
      </c>
      <c r="G2087" t="inlineStr">
        <is>
          <t>2026-04-01</t>
        </is>
      </c>
    </row>
    <row r="2088" ht="25.5" customHeight="1">
      <c r="A2088" t="inlineStr">
        <is>
          <t>易中天中华史</t>
        </is>
      </c>
      <c r="B2088" s="2" t="str">
        <f>=HYPERLINK("https://pan.quark.cn/s/ffb1358ec0bd", "https://pan.quark.cn/s/ffb1358ec0bd")</f>
        <v>https://pan.quark.cn/s/ffb1358ec0bd</v>
      </c>
      <c r="C2088" t="inlineStr">
        <is>
          <t>1.8GB</t>
        </is>
      </c>
      <c r="D2088" t="inlineStr">
        <is>
          <t>/中华史/历史/通俗读物/易中天/大学生/白领</t>
        </is>
      </c>
      <c r="E2088" t="inlineStr">
        <is>
          <t>https://dcn8qexvg13r.feishu.cn/share/base/query/shrcnMqxwwRkV3NUIUxPeab3sec</t>
        </is>
      </c>
      <c r="F2088" t="inlineStr">
        <is>
          <t>请添加微信：k846211</t>
        </is>
      </c>
      <c r="G2088" t="inlineStr">
        <is>
          <t>2026-04-01</t>
        </is>
      </c>
    </row>
    <row r="2089" ht="25.5" customHeight="1">
      <c r="A2089" t="inlineStr">
        <is>
          <t>中国史纲50讲（完结）</t>
        </is>
      </c>
      <c r="B2089" s="2" t="str">
        <f>=HYPERLINK("https://pan.quark.cn/s/b8537602ba3d", "https://pan.quark.cn/s/b8537602ba3d")</f>
        <v>https://pan.quark.cn/s/b8537602ba3d</v>
      </c>
      <c r="C2089" t="inlineStr">
        <is>
          <t>727.4MB</t>
        </is>
      </c>
      <c r="D2089" t="inlineStr">
        <is>
          <t>/中国史/历史课程/知识普及/大学生/考研/考公/考证党</t>
        </is>
      </c>
      <c r="E2089" t="inlineStr">
        <is>
          <t>https://dcn8qexvg13r.feishu.cn/share/base/query/shrcnMqxwwRkV3NUIUxPeab3sec</t>
        </is>
      </c>
      <c r="F2089" t="inlineStr">
        <is>
          <t>请添加微信：k846211</t>
        </is>
      </c>
      <c r="G2089" t="inlineStr">
        <is>
          <t>2026-04-01</t>
        </is>
      </c>
    </row>
    <row r="2090" ht="25.5" customHeight="1">
      <c r="A2090" t="inlineStr">
        <is>
          <t>熊逸·讲透资治通鉴5·西汉余绪</t>
        </is>
      </c>
      <c r="B2090" s="2" t="str">
        <f>=HYPERLINK("https://pan.quark.cn/s/e04f63a8e4f4", "https://pan.quark.cn/s/e04f63a8e4f4")</f>
        <v>https://pan.quark.cn/s/e04f63a8e4f4</v>
      </c>
      <c r="C2090" t="inlineStr">
        <is>
          <t>1.5GB</t>
        </is>
      </c>
      <c r="D2090" t="inlineStr">
        <is>
          <t>/资治通鉴/西汉历史/熊逸解读/历史知识/管理者/大学生</t>
        </is>
      </c>
      <c r="E2090" t="inlineStr">
        <is>
          <t>https://dcn8qexvg13r.feishu.cn/share/base/query/shrcnMqxwwRkV3NUIUxPeab3sec</t>
        </is>
      </c>
      <c r="F2090" t="inlineStr">
        <is>
          <t>请添加微信：k846211</t>
        </is>
      </c>
      <c r="G2090" t="inlineStr">
        <is>
          <t>2026-04-01</t>
        </is>
      </c>
    </row>
    <row r="2091" ht="25.5" customHeight="1">
      <c r="A2091" t="inlineStr">
        <is>
          <t>冯唐课程和书籍合集(18.2G）</t>
        </is>
      </c>
      <c r="B2091" s="2" t="str">
        <f>=HYPERLINK("https://pan.quark.cn/s/1e5551bfe82f", "https://pan.quark.cn/s/1e5551bfe82f")</f>
        <v>https://pan.quark.cn/s/1e5551bfe82f</v>
      </c>
      <c r="C2091" t="inlineStr">
        <is>
          <t>18.2GB</t>
        </is>
      </c>
      <c r="D2091" t="inlineStr">
        <is>
          <t>/冯唐/课程/书籍/白领/管理者</t>
        </is>
      </c>
      <c r="E2091" t="inlineStr">
        <is>
          <t>https://dcn8qexvg13r.feishu.cn/share/base/query/shrcnMqxwwRkV3NUIUxPeab3sec</t>
        </is>
      </c>
      <c r="F2091" t="inlineStr">
        <is>
          <t>请添加微信：k846211</t>
        </is>
      </c>
      <c r="G2091" t="inlineStr">
        <is>
          <t>2026-04-01</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s>
  <sheetData>
    <row r="1" ht="13" customHeight="1">
      <c r="A1" s="1" t="inlineStr">
        <is>
          <t>文本</t>
        </is>
      </c>
      <c r="B1" s="1" t="inlineStr">
        <is>
          <t>谢谢大家支持</t>
        </is>
      </c>
      <c r="C1" s="1" t="inlineStr">
        <is>
          <t>图片</t>
        </is>
      </c>
    </row>
    <row r="2" ht="63.75" customHeight="1">
      <c r="A2" t="inlineStr">
        <is>
          <t>资源每日更新，it类完全免费，防走丢加Q群：866691465，微信：k846211
永久免费更新模块有：IT全网学习资源</t>
        </is>
      </c>
      <c r="B2" t="inlineStr">
        <is>
          <t>打赏作者，感谢您的支持，我会不懈努力</t>
        </is>
      </c>
      <c r="C2" t="inlineStr">
        <is>
          <t>mm_facetoface_collect_qrcode_1768103085280.png</t>
        </is>
      </c>
    </row>
    <row r="3" ht="63.75" customHeight="1">
      <c r="A3" t="inlineStr">
        <is>
          <t>后续会员群更新模块有：IT全网学习资源（比免费模块多很多精品最新的课程），网络创业资源合集，破解软件资源合集，自我学习提升合集
会员群：联系群主加入
求资源可在会员QQ群发出来，找到我会免费共享出来，仅会员群专享</t>
        </is>
      </c>
      <c r="B3"/>
      <c r="C3" t="inlineStr">
        <is>
          <t>1768103294393.jpg</t>
        </is>
      </c>
    </row>
    <row r="4" ht="63.75" customHeight="1">
      <c r="A4" t="inlineStr">
        <is>
          <t>IT资源合集：大模型，逆向，大数据，后端开发，前端开发，原生开发，嵌入式，物联网，AI，算法等资源合集（免费共享，会员群共享更多精品最新资源）</t>
        </is>
      </c>
      <c r="B4"/>
      <c r="C4"/>
    </row>
    <row r="5" ht="63.75" customHeight="1">
      <c r="A5" t="inlineStr">
        <is>
          <t>网创合集：小红书引流，电商直播带货，抖音引流，个人IP打造，搬砖，无人直播，跨境电商，线下实体店等资源合集（会员群共享）</t>
        </is>
      </c>
      <c r="B5"/>
      <c r="C5"/>
    </row>
    <row r="6" ht="63.75" customHeight="1">
      <c r="A6" t="inlineStr">
        <is>
          <t>破解软件资源：如Mac，Windows下收费资源，IDEA，Fillder，Adobe Photoshop，IDA Pro，VMware，Finalshell等破解软件资源（会员群共享）</t>
        </is>
      </c>
      <c r="B6"/>
      <c r="C6"/>
    </row>
    <row r="7" ht="63.75" customHeight="1">
      <c r="A7" t="inlineStr">
        <is>
          <t>自我学习提升：初高中到考研英数语，吉他，书法，摄影，日语，插画，美术，剪辑，运营，声乐等学习资源（会员群共享）</t>
        </is>
      </c>
      <c r="B7"/>
      <c r="C7"/>
    </row>
    <row r="8" ht="63.75" customHeight="1">
      <c r="A8"/>
      <c r="B8"/>
      <c r="C8"/>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